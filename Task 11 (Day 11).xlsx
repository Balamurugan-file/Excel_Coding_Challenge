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11\"/>
    </mc:Choice>
  </mc:AlternateContent>
  <xr:revisionPtr revIDLastSave="0" documentId="13_ncr:1_{7A7ECD11-BAB3-423F-BD3F-DDBEB6FEDF43}" xr6:coauthVersionLast="36" xr6:coauthVersionMax="36" xr10:uidLastSave="{00000000-0000-0000-0000-000000000000}"/>
  <bookViews>
    <workbookView xWindow="240" yWindow="20" windowWidth="16100" windowHeight="9660" activeTab="3" xr2:uid="{00000000-000D-0000-FFFF-FFFF00000000}"/>
  </bookViews>
  <sheets>
    <sheet name="Sheet1" sheetId="1" r:id="rId1"/>
    <sheet name="Sheet 2" sheetId="3" r:id="rId2"/>
    <sheet name="Cleaned data" sheetId="4" r:id="rId3"/>
    <sheet name="Mini Report" sheetId="5" r:id="rId4"/>
  </sheets>
  <definedNames>
    <definedName name="_xlnm._FilterDatabase" localSheetId="2" hidden="1">'Cleaned data'!$S$1:$T$151</definedName>
    <definedName name="_xlnm._FilterDatabase" localSheetId="3" hidden="1">'Mini Report'!$A$11:$E$16</definedName>
    <definedName name="_xlnm._FilterDatabase" localSheetId="1" hidden="1">'Sheet 2'!$A$1:$I$151</definedName>
    <definedName name="_xlnm._FilterDatabase" localSheetId="0" hidden="1">Sheet1!$A$1:$I$151</definedName>
    <definedName name="ExternalData_1" localSheetId="2" hidden="1">'Cleaned data'!$A$1:$K$151</definedName>
    <definedName name="ExternalData_1" localSheetId="3" hidden="1">'Mini Report'!#REF!</definedName>
  </definedNames>
  <calcPr calcId="191029"/>
</workbook>
</file>

<file path=xl/calcChain.xml><?xml version="1.0" encoding="utf-8"?>
<calcChain xmlns="http://schemas.openxmlformats.org/spreadsheetml/2006/main">
  <c r="L2" i="4" l="1"/>
  <c r="M2" i="4"/>
  <c r="N2" i="4"/>
  <c r="O2" i="4"/>
  <c r="T2" i="4" s="1"/>
  <c r="S2" i="4"/>
  <c r="L3" i="4"/>
  <c r="S3" i="4" s="1"/>
  <c r="M3" i="4"/>
  <c r="N3" i="4"/>
  <c r="O3" i="4" s="1"/>
  <c r="T3" i="4" s="1"/>
  <c r="L4" i="4"/>
  <c r="M4" i="4"/>
  <c r="N4" i="4"/>
  <c r="O4" i="4"/>
  <c r="T4" i="4" s="1"/>
  <c r="S4" i="4"/>
  <c r="L5" i="4"/>
  <c r="S5" i="4" s="1"/>
  <c r="M5" i="4"/>
  <c r="N5" i="4"/>
  <c r="O5" i="4" s="1"/>
  <c r="T5" i="4" s="1"/>
  <c r="L6" i="4"/>
  <c r="M6" i="4"/>
  <c r="N6" i="4"/>
  <c r="O6" i="4" s="1"/>
  <c r="T6" i="4" s="1"/>
  <c r="S6" i="4"/>
  <c r="L7" i="4"/>
  <c r="S7" i="4" s="1"/>
  <c r="M7" i="4"/>
  <c r="N7" i="4"/>
  <c r="O7" i="4" s="1"/>
  <c r="T7" i="4" s="1"/>
  <c r="L8" i="4"/>
  <c r="S8" i="4" s="1"/>
  <c r="M8" i="4"/>
  <c r="N8" i="4"/>
  <c r="O8" i="4" s="1"/>
  <c r="T8" i="4" s="1"/>
  <c r="L9" i="4"/>
  <c r="S9" i="4" s="1"/>
  <c r="M9" i="4"/>
  <c r="N9" i="4"/>
  <c r="O9" i="4" s="1"/>
  <c r="T9" i="4" s="1"/>
  <c r="L10" i="4"/>
  <c r="S10" i="4" s="1"/>
  <c r="M10" i="4"/>
  <c r="N10" i="4"/>
  <c r="O10" i="4" s="1"/>
  <c r="T10" i="4" s="1"/>
  <c r="L11" i="4"/>
  <c r="S11" i="4" s="1"/>
  <c r="M11" i="4"/>
  <c r="N11" i="4"/>
  <c r="O11" i="4" s="1"/>
  <c r="T11" i="4" s="1"/>
  <c r="L12" i="4"/>
  <c r="S12" i="4" s="1"/>
  <c r="M12" i="4"/>
  <c r="N12" i="4"/>
  <c r="O12" i="4" s="1"/>
  <c r="T12" i="4" s="1"/>
  <c r="L13" i="4"/>
  <c r="S13" i="4" s="1"/>
  <c r="M13" i="4"/>
  <c r="N13" i="4"/>
  <c r="O13" i="4" s="1"/>
  <c r="T13" i="4" s="1"/>
  <c r="L14" i="4"/>
  <c r="S14" i="4" s="1"/>
  <c r="M14" i="4"/>
  <c r="N14" i="4"/>
  <c r="O14" i="4" s="1"/>
  <c r="T14" i="4" s="1"/>
  <c r="L15" i="4"/>
  <c r="S15" i="4" s="1"/>
  <c r="M15" i="4"/>
  <c r="N15" i="4"/>
  <c r="O15" i="4" s="1"/>
  <c r="T15" i="4" s="1"/>
  <c r="L16" i="4"/>
  <c r="S16" i="4" s="1"/>
  <c r="M16" i="4"/>
  <c r="N16" i="4"/>
  <c r="O16" i="4" s="1"/>
  <c r="T16" i="4" s="1"/>
  <c r="L17" i="4"/>
  <c r="S17" i="4" s="1"/>
  <c r="M17" i="4"/>
  <c r="N17" i="4"/>
  <c r="O17" i="4" s="1"/>
  <c r="T17" i="4" s="1"/>
  <c r="L18" i="4"/>
  <c r="S18" i="4" s="1"/>
  <c r="M18" i="4"/>
  <c r="N18" i="4"/>
  <c r="O18" i="4" s="1"/>
  <c r="T18" i="4" s="1"/>
  <c r="L19" i="4"/>
  <c r="S19" i="4" s="1"/>
  <c r="M19" i="4"/>
  <c r="N19" i="4"/>
  <c r="O19" i="4" s="1"/>
  <c r="T19" i="4" s="1"/>
  <c r="L20" i="4"/>
  <c r="S20" i="4" s="1"/>
  <c r="M20" i="4"/>
  <c r="N20" i="4"/>
  <c r="O20" i="4" s="1"/>
  <c r="T20" i="4" s="1"/>
  <c r="L21" i="4"/>
  <c r="S21" i="4" s="1"/>
  <c r="M21" i="4"/>
  <c r="N21" i="4"/>
  <c r="O21" i="4" s="1"/>
  <c r="T21" i="4" s="1"/>
  <c r="L22" i="4"/>
  <c r="S22" i="4" s="1"/>
  <c r="M22" i="4"/>
  <c r="N22" i="4"/>
  <c r="O22" i="4" s="1"/>
  <c r="T22" i="4" s="1"/>
  <c r="L23" i="4"/>
  <c r="S23" i="4" s="1"/>
  <c r="M23" i="4"/>
  <c r="N23" i="4"/>
  <c r="O23" i="4" s="1"/>
  <c r="T23" i="4" s="1"/>
  <c r="L24" i="4"/>
  <c r="S24" i="4" s="1"/>
  <c r="M24" i="4"/>
  <c r="N24" i="4"/>
  <c r="O24" i="4" s="1"/>
  <c r="T24" i="4" s="1"/>
  <c r="L25" i="4"/>
  <c r="S25" i="4" s="1"/>
  <c r="M25" i="4"/>
  <c r="N25" i="4"/>
  <c r="O25" i="4" s="1"/>
  <c r="T25" i="4" s="1"/>
  <c r="L26" i="4"/>
  <c r="S26" i="4" s="1"/>
  <c r="M26" i="4"/>
  <c r="N26" i="4"/>
  <c r="O26" i="4" s="1"/>
  <c r="T26" i="4" s="1"/>
  <c r="L27" i="4"/>
  <c r="S27" i="4" s="1"/>
  <c r="M27" i="4"/>
  <c r="N27" i="4"/>
  <c r="O27" i="4" s="1"/>
  <c r="T27" i="4" s="1"/>
  <c r="L28" i="4"/>
  <c r="S28" i="4" s="1"/>
  <c r="M28" i="4"/>
  <c r="N28" i="4"/>
  <c r="O28" i="4" s="1"/>
  <c r="T28" i="4" s="1"/>
  <c r="L29" i="4"/>
  <c r="S29" i="4" s="1"/>
  <c r="M29" i="4"/>
  <c r="N29" i="4"/>
  <c r="O29" i="4" s="1"/>
  <c r="T29" i="4" s="1"/>
  <c r="L30" i="4"/>
  <c r="S30" i="4" s="1"/>
  <c r="M30" i="4"/>
  <c r="N30" i="4"/>
  <c r="O30" i="4" s="1"/>
  <c r="T30" i="4" s="1"/>
  <c r="L31" i="4"/>
  <c r="S31" i="4" s="1"/>
  <c r="M31" i="4"/>
  <c r="N31" i="4"/>
  <c r="O31" i="4" s="1"/>
  <c r="T31" i="4" s="1"/>
  <c r="L32" i="4"/>
  <c r="S32" i="4" s="1"/>
  <c r="M32" i="4"/>
  <c r="N32" i="4"/>
  <c r="O32" i="4" s="1"/>
  <c r="T32" i="4" s="1"/>
  <c r="L33" i="4"/>
  <c r="S33" i="4" s="1"/>
  <c r="M33" i="4"/>
  <c r="N33" i="4"/>
  <c r="O33" i="4" s="1"/>
  <c r="T33" i="4" s="1"/>
  <c r="L34" i="4"/>
  <c r="S34" i="4" s="1"/>
  <c r="M34" i="4"/>
  <c r="N34" i="4"/>
  <c r="O34" i="4" s="1"/>
  <c r="T34" i="4" s="1"/>
  <c r="L35" i="4"/>
  <c r="S35" i="4" s="1"/>
  <c r="M35" i="4"/>
  <c r="N35" i="4"/>
  <c r="O35" i="4" s="1"/>
  <c r="T35" i="4" s="1"/>
  <c r="L36" i="4"/>
  <c r="S36" i="4" s="1"/>
  <c r="M36" i="4"/>
  <c r="N36" i="4"/>
  <c r="O36" i="4" s="1"/>
  <c r="T36" i="4" s="1"/>
  <c r="L37" i="4"/>
  <c r="S37" i="4" s="1"/>
  <c r="M37" i="4"/>
  <c r="N37" i="4"/>
  <c r="O37" i="4" s="1"/>
  <c r="T37" i="4" s="1"/>
  <c r="L38" i="4"/>
  <c r="S38" i="4" s="1"/>
  <c r="M38" i="4"/>
  <c r="N38" i="4"/>
  <c r="O38" i="4" s="1"/>
  <c r="T38" i="4" s="1"/>
  <c r="L39" i="4"/>
  <c r="S39" i="4" s="1"/>
  <c r="M39" i="4"/>
  <c r="N39" i="4"/>
  <c r="O39" i="4" s="1"/>
  <c r="T39" i="4" s="1"/>
  <c r="L40" i="4"/>
  <c r="S40" i="4" s="1"/>
  <c r="M40" i="4"/>
  <c r="N40" i="4"/>
  <c r="O40" i="4" s="1"/>
  <c r="T40" i="4" s="1"/>
  <c r="L41" i="4"/>
  <c r="S41" i="4" s="1"/>
  <c r="M41" i="4"/>
  <c r="N41" i="4"/>
  <c r="O41" i="4" s="1"/>
  <c r="T41" i="4" s="1"/>
  <c r="L42" i="4"/>
  <c r="S42" i="4" s="1"/>
  <c r="M42" i="4"/>
  <c r="N42" i="4"/>
  <c r="O42" i="4" s="1"/>
  <c r="T42" i="4" s="1"/>
  <c r="L43" i="4"/>
  <c r="S43" i="4" s="1"/>
  <c r="M43" i="4"/>
  <c r="N43" i="4"/>
  <c r="O43" i="4" s="1"/>
  <c r="T43" i="4" s="1"/>
  <c r="L44" i="4"/>
  <c r="S44" i="4" s="1"/>
  <c r="M44" i="4"/>
  <c r="N44" i="4"/>
  <c r="O44" i="4" s="1"/>
  <c r="T44" i="4" s="1"/>
  <c r="L45" i="4"/>
  <c r="S45" i="4" s="1"/>
  <c r="M45" i="4"/>
  <c r="N45" i="4"/>
  <c r="O45" i="4" s="1"/>
  <c r="T45" i="4" s="1"/>
  <c r="L46" i="4"/>
  <c r="S46" i="4" s="1"/>
  <c r="M46" i="4"/>
  <c r="N46" i="4"/>
  <c r="O46" i="4" s="1"/>
  <c r="T46" i="4" s="1"/>
  <c r="L47" i="4"/>
  <c r="S47" i="4" s="1"/>
  <c r="M47" i="4"/>
  <c r="N47" i="4"/>
  <c r="O47" i="4" s="1"/>
  <c r="T47" i="4" s="1"/>
  <c r="L48" i="4"/>
  <c r="S48" i="4" s="1"/>
  <c r="M48" i="4"/>
  <c r="N48" i="4"/>
  <c r="O48" i="4" s="1"/>
  <c r="T48" i="4" s="1"/>
  <c r="L49" i="4"/>
  <c r="S49" i="4" s="1"/>
  <c r="M49" i="4"/>
  <c r="N49" i="4"/>
  <c r="O49" i="4" s="1"/>
  <c r="T49" i="4" s="1"/>
  <c r="L50" i="4"/>
  <c r="S50" i="4" s="1"/>
  <c r="M50" i="4"/>
  <c r="N50" i="4"/>
  <c r="O50" i="4" s="1"/>
  <c r="T50" i="4" s="1"/>
  <c r="L51" i="4"/>
  <c r="S51" i="4" s="1"/>
  <c r="M51" i="4"/>
  <c r="N51" i="4"/>
  <c r="O51" i="4" s="1"/>
  <c r="T51" i="4" s="1"/>
  <c r="L52" i="4"/>
  <c r="S52" i="4" s="1"/>
  <c r="M52" i="4"/>
  <c r="N52" i="4"/>
  <c r="O52" i="4" s="1"/>
  <c r="T52" i="4" s="1"/>
  <c r="L53" i="4"/>
  <c r="S53" i="4" s="1"/>
  <c r="M53" i="4"/>
  <c r="N53" i="4"/>
  <c r="O53" i="4" s="1"/>
  <c r="T53" i="4"/>
  <c r="L54" i="4"/>
  <c r="S54" i="4" s="1"/>
  <c r="M54" i="4"/>
  <c r="N54" i="4"/>
  <c r="O54" i="4"/>
  <c r="T54" i="4" s="1"/>
  <c r="L55" i="4"/>
  <c r="S55" i="4" s="1"/>
  <c r="M55" i="4"/>
  <c r="N55" i="4"/>
  <c r="O55" i="4" s="1"/>
  <c r="T55" i="4" s="1"/>
  <c r="L56" i="4"/>
  <c r="S56" i="4" s="1"/>
  <c r="M56" i="4"/>
  <c r="N56" i="4"/>
  <c r="O56" i="4" s="1"/>
  <c r="T56" i="4" s="1"/>
  <c r="L57" i="4"/>
  <c r="S57" i="4" s="1"/>
  <c r="M57" i="4"/>
  <c r="N57" i="4"/>
  <c r="O57" i="4" s="1"/>
  <c r="T57" i="4" s="1"/>
  <c r="L58" i="4"/>
  <c r="S58" i="4" s="1"/>
  <c r="M58" i="4"/>
  <c r="N58" i="4"/>
  <c r="O58" i="4" s="1"/>
  <c r="T58" i="4" s="1"/>
  <c r="L59" i="4"/>
  <c r="S59" i="4" s="1"/>
  <c r="M59" i="4"/>
  <c r="N59" i="4"/>
  <c r="O59" i="4" s="1"/>
  <c r="T59" i="4" s="1"/>
  <c r="L60" i="4"/>
  <c r="S60" i="4" s="1"/>
  <c r="M60" i="4"/>
  <c r="N60" i="4"/>
  <c r="O60" i="4" s="1"/>
  <c r="T60" i="4" s="1"/>
  <c r="L61" i="4"/>
  <c r="S61" i="4" s="1"/>
  <c r="M61" i="4"/>
  <c r="N61" i="4"/>
  <c r="O61" i="4" s="1"/>
  <c r="T61" i="4" s="1"/>
  <c r="L62" i="4"/>
  <c r="S62" i="4" s="1"/>
  <c r="M62" i="4"/>
  <c r="N62" i="4"/>
  <c r="O62" i="4" s="1"/>
  <c r="T62" i="4" s="1"/>
  <c r="L63" i="4"/>
  <c r="S63" i="4" s="1"/>
  <c r="M63" i="4"/>
  <c r="N63" i="4"/>
  <c r="O63" i="4" s="1"/>
  <c r="T63" i="4" s="1"/>
  <c r="L64" i="4"/>
  <c r="S64" i="4" s="1"/>
  <c r="M64" i="4"/>
  <c r="N64" i="4"/>
  <c r="O64" i="4" s="1"/>
  <c r="T64" i="4" s="1"/>
  <c r="L65" i="4"/>
  <c r="S65" i="4" s="1"/>
  <c r="M65" i="4"/>
  <c r="N65" i="4"/>
  <c r="O65" i="4" s="1"/>
  <c r="T65" i="4" s="1"/>
  <c r="L66" i="4"/>
  <c r="S66" i="4" s="1"/>
  <c r="M66" i="4"/>
  <c r="N66" i="4"/>
  <c r="O66" i="4" s="1"/>
  <c r="T66" i="4" s="1"/>
  <c r="L67" i="4"/>
  <c r="S67" i="4" s="1"/>
  <c r="M67" i="4"/>
  <c r="N67" i="4"/>
  <c r="O67" i="4" s="1"/>
  <c r="T67" i="4" s="1"/>
  <c r="L68" i="4"/>
  <c r="S68" i="4" s="1"/>
  <c r="M68" i="4"/>
  <c r="N68" i="4"/>
  <c r="O68" i="4" s="1"/>
  <c r="T68" i="4" s="1"/>
  <c r="L69" i="4"/>
  <c r="S69" i="4" s="1"/>
  <c r="M69" i="4"/>
  <c r="N69" i="4"/>
  <c r="O69" i="4" s="1"/>
  <c r="T69" i="4" s="1"/>
  <c r="L70" i="4"/>
  <c r="S70" i="4" s="1"/>
  <c r="M70" i="4"/>
  <c r="N70" i="4"/>
  <c r="O70" i="4" s="1"/>
  <c r="T70" i="4" s="1"/>
  <c r="L71" i="4"/>
  <c r="S71" i="4" s="1"/>
  <c r="M71" i="4"/>
  <c r="N71" i="4"/>
  <c r="O71" i="4" s="1"/>
  <c r="T71" i="4" s="1"/>
  <c r="L72" i="4"/>
  <c r="S72" i="4" s="1"/>
  <c r="M72" i="4"/>
  <c r="N72" i="4"/>
  <c r="O72" i="4" s="1"/>
  <c r="T72" i="4" s="1"/>
  <c r="L73" i="4"/>
  <c r="S73" i="4" s="1"/>
  <c r="M73" i="4"/>
  <c r="N73" i="4"/>
  <c r="O73" i="4" s="1"/>
  <c r="T73" i="4" s="1"/>
  <c r="L74" i="4"/>
  <c r="S74" i="4" s="1"/>
  <c r="M74" i="4"/>
  <c r="N74" i="4"/>
  <c r="O74" i="4" s="1"/>
  <c r="T74" i="4" s="1"/>
  <c r="L75" i="4"/>
  <c r="S75" i="4" s="1"/>
  <c r="M75" i="4"/>
  <c r="N75" i="4"/>
  <c r="O75" i="4" s="1"/>
  <c r="T75" i="4" s="1"/>
  <c r="L76" i="4"/>
  <c r="S76" i="4" s="1"/>
  <c r="M76" i="4"/>
  <c r="N76" i="4"/>
  <c r="O76" i="4" s="1"/>
  <c r="T76" i="4" s="1"/>
  <c r="L77" i="4"/>
  <c r="S77" i="4" s="1"/>
  <c r="M77" i="4"/>
  <c r="N77" i="4"/>
  <c r="O77" i="4" s="1"/>
  <c r="T77" i="4" s="1"/>
  <c r="L78" i="4"/>
  <c r="S78" i="4" s="1"/>
  <c r="M78" i="4"/>
  <c r="N78" i="4"/>
  <c r="O78" i="4" s="1"/>
  <c r="T78" i="4" s="1"/>
  <c r="L79" i="4"/>
  <c r="S79" i="4" s="1"/>
  <c r="M79" i="4"/>
  <c r="N79" i="4"/>
  <c r="O79" i="4" s="1"/>
  <c r="T79" i="4" s="1"/>
  <c r="L80" i="4"/>
  <c r="S80" i="4" s="1"/>
  <c r="M80" i="4"/>
  <c r="N80" i="4"/>
  <c r="O80" i="4" s="1"/>
  <c r="T80" i="4" s="1"/>
  <c r="L81" i="4"/>
  <c r="S81" i="4" s="1"/>
  <c r="M81" i="4"/>
  <c r="N81" i="4"/>
  <c r="O81" i="4" s="1"/>
  <c r="T81" i="4" s="1"/>
  <c r="L82" i="4"/>
  <c r="S82" i="4" s="1"/>
  <c r="M82" i="4"/>
  <c r="N82" i="4"/>
  <c r="O82" i="4" s="1"/>
  <c r="T82" i="4" s="1"/>
  <c r="L83" i="4"/>
  <c r="S83" i="4" s="1"/>
  <c r="M83" i="4"/>
  <c r="N83" i="4"/>
  <c r="O83" i="4" s="1"/>
  <c r="T83" i="4" s="1"/>
  <c r="L84" i="4"/>
  <c r="S84" i="4" s="1"/>
  <c r="M84" i="4"/>
  <c r="N84" i="4"/>
  <c r="O84" i="4" s="1"/>
  <c r="T84" i="4" s="1"/>
  <c r="L85" i="4"/>
  <c r="S85" i="4" s="1"/>
  <c r="M85" i="4"/>
  <c r="N85" i="4"/>
  <c r="O85" i="4" s="1"/>
  <c r="T85" i="4" s="1"/>
  <c r="L86" i="4"/>
  <c r="S86" i="4" s="1"/>
  <c r="M86" i="4"/>
  <c r="N86" i="4"/>
  <c r="O86" i="4" s="1"/>
  <c r="T86" i="4" s="1"/>
  <c r="L87" i="4"/>
  <c r="S87" i="4" s="1"/>
  <c r="M87" i="4"/>
  <c r="N87" i="4"/>
  <c r="O87" i="4" s="1"/>
  <c r="T87" i="4" s="1"/>
  <c r="L88" i="4"/>
  <c r="S88" i="4" s="1"/>
  <c r="M88" i="4"/>
  <c r="N88" i="4"/>
  <c r="O88" i="4" s="1"/>
  <c r="T88" i="4" s="1"/>
  <c r="L89" i="4"/>
  <c r="S89" i="4" s="1"/>
  <c r="M89" i="4"/>
  <c r="N89" i="4"/>
  <c r="O89" i="4" s="1"/>
  <c r="T89" i="4" s="1"/>
  <c r="L90" i="4"/>
  <c r="S90" i="4" s="1"/>
  <c r="M90" i="4"/>
  <c r="N90" i="4"/>
  <c r="O90" i="4" s="1"/>
  <c r="T90" i="4" s="1"/>
  <c r="L91" i="4"/>
  <c r="S91" i="4" s="1"/>
  <c r="M91" i="4"/>
  <c r="N91" i="4"/>
  <c r="O91" i="4" s="1"/>
  <c r="T91" i="4" s="1"/>
  <c r="L92" i="4"/>
  <c r="S92" i="4" s="1"/>
  <c r="M92" i="4"/>
  <c r="N92" i="4"/>
  <c r="O92" i="4" s="1"/>
  <c r="T92" i="4" s="1"/>
  <c r="L93" i="4"/>
  <c r="S93" i="4" s="1"/>
  <c r="M93" i="4"/>
  <c r="N93" i="4"/>
  <c r="O93" i="4" s="1"/>
  <c r="T93" i="4" s="1"/>
  <c r="L94" i="4"/>
  <c r="S94" i="4" s="1"/>
  <c r="M94" i="4"/>
  <c r="N94" i="4"/>
  <c r="O94" i="4" s="1"/>
  <c r="T94" i="4" s="1"/>
  <c r="L95" i="4"/>
  <c r="S95" i="4" s="1"/>
  <c r="M95" i="4"/>
  <c r="N95" i="4"/>
  <c r="O95" i="4" s="1"/>
  <c r="T95" i="4" s="1"/>
  <c r="L96" i="4"/>
  <c r="S96" i="4" s="1"/>
  <c r="M96" i="4"/>
  <c r="N96" i="4"/>
  <c r="O96" i="4" s="1"/>
  <c r="T96" i="4" s="1"/>
  <c r="L97" i="4"/>
  <c r="S97" i="4" s="1"/>
  <c r="M97" i="4"/>
  <c r="N97" i="4"/>
  <c r="O97" i="4" s="1"/>
  <c r="T97" i="4" s="1"/>
  <c r="L98" i="4"/>
  <c r="S98" i="4" s="1"/>
  <c r="M98" i="4"/>
  <c r="N98" i="4"/>
  <c r="O98" i="4" s="1"/>
  <c r="T98" i="4" s="1"/>
  <c r="L99" i="4"/>
  <c r="S99" i="4" s="1"/>
  <c r="M99" i="4"/>
  <c r="N99" i="4"/>
  <c r="O99" i="4" s="1"/>
  <c r="T99" i="4" s="1"/>
  <c r="L100" i="4"/>
  <c r="S100" i="4" s="1"/>
  <c r="M100" i="4"/>
  <c r="N100" i="4"/>
  <c r="O100" i="4" s="1"/>
  <c r="T100" i="4" s="1"/>
  <c r="L101" i="4"/>
  <c r="S101" i="4" s="1"/>
  <c r="M101" i="4"/>
  <c r="N101" i="4"/>
  <c r="O101" i="4" s="1"/>
  <c r="T101" i="4" s="1"/>
  <c r="L102" i="4"/>
  <c r="S102" i="4" s="1"/>
  <c r="M102" i="4"/>
  <c r="N102" i="4"/>
  <c r="O102" i="4" s="1"/>
  <c r="T102" i="4" s="1"/>
  <c r="L103" i="4"/>
  <c r="S103" i="4" s="1"/>
  <c r="M103" i="4"/>
  <c r="N103" i="4"/>
  <c r="O103" i="4" s="1"/>
  <c r="T103" i="4" s="1"/>
  <c r="L104" i="4"/>
  <c r="S104" i="4" s="1"/>
  <c r="M104" i="4"/>
  <c r="N104" i="4"/>
  <c r="O104" i="4" s="1"/>
  <c r="T104" i="4" s="1"/>
  <c r="L105" i="4"/>
  <c r="S105" i="4" s="1"/>
  <c r="M105" i="4"/>
  <c r="N105" i="4"/>
  <c r="O105" i="4" s="1"/>
  <c r="T105" i="4" s="1"/>
  <c r="L106" i="4"/>
  <c r="S106" i="4" s="1"/>
  <c r="M106" i="4"/>
  <c r="N106" i="4"/>
  <c r="O106" i="4" s="1"/>
  <c r="T106" i="4" s="1"/>
  <c r="L107" i="4"/>
  <c r="S107" i="4" s="1"/>
  <c r="M107" i="4"/>
  <c r="N107" i="4"/>
  <c r="O107" i="4" s="1"/>
  <c r="T107" i="4" s="1"/>
  <c r="L108" i="4"/>
  <c r="S108" i="4" s="1"/>
  <c r="M108" i="4"/>
  <c r="N108" i="4"/>
  <c r="O108" i="4" s="1"/>
  <c r="T108" i="4" s="1"/>
  <c r="L109" i="4"/>
  <c r="S109" i="4" s="1"/>
  <c r="M109" i="4"/>
  <c r="N109" i="4"/>
  <c r="O109" i="4" s="1"/>
  <c r="T109" i="4" s="1"/>
  <c r="L110" i="4"/>
  <c r="S110" i="4" s="1"/>
  <c r="M110" i="4"/>
  <c r="N110" i="4"/>
  <c r="O110" i="4" s="1"/>
  <c r="T110" i="4" s="1"/>
  <c r="L111" i="4"/>
  <c r="S111" i="4" s="1"/>
  <c r="M111" i="4"/>
  <c r="N111" i="4"/>
  <c r="O111" i="4" s="1"/>
  <c r="T111" i="4" s="1"/>
  <c r="L112" i="4"/>
  <c r="S112" i="4" s="1"/>
  <c r="M112" i="4"/>
  <c r="N112" i="4"/>
  <c r="O112" i="4" s="1"/>
  <c r="T112" i="4" s="1"/>
  <c r="L113" i="4"/>
  <c r="S113" i="4" s="1"/>
  <c r="M113" i="4"/>
  <c r="N113" i="4"/>
  <c r="O113" i="4" s="1"/>
  <c r="T113" i="4" s="1"/>
  <c r="L114" i="4"/>
  <c r="S114" i="4" s="1"/>
  <c r="M114" i="4"/>
  <c r="N114" i="4"/>
  <c r="O114" i="4" s="1"/>
  <c r="T114" i="4" s="1"/>
  <c r="L115" i="4"/>
  <c r="S115" i="4" s="1"/>
  <c r="M115" i="4"/>
  <c r="N115" i="4"/>
  <c r="O115" i="4" s="1"/>
  <c r="T115" i="4" s="1"/>
  <c r="L116" i="4"/>
  <c r="S116" i="4" s="1"/>
  <c r="M116" i="4"/>
  <c r="N116" i="4"/>
  <c r="O116" i="4" s="1"/>
  <c r="T116" i="4" s="1"/>
  <c r="L117" i="4"/>
  <c r="S117" i="4" s="1"/>
  <c r="M117" i="4"/>
  <c r="N117" i="4"/>
  <c r="O117" i="4" s="1"/>
  <c r="T117" i="4" s="1"/>
  <c r="L118" i="4"/>
  <c r="M118" i="4"/>
  <c r="N118" i="4"/>
  <c r="O118" i="4"/>
  <c r="T118" i="4" s="1"/>
  <c r="S118" i="4"/>
  <c r="L119" i="4"/>
  <c r="S119" i="4" s="1"/>
  <c r="M119" i="4"/>
  <c r="N119" i="4"/>
  <c r="O119" i="4" s="1"/>
  <c r="T119" i="4" s="1"/>
  <c r="L120" i="4"/>
  <c r="S120" i="4" s="1"/>
  <c r="M120" i="4"/>
  <c r="N120" i="4"/>
  <c r="O120" i="4" s="1"/>
  <c r="T120" i="4" s="1"/>
  <c r="L121" i="4"/>
  <c r="S121" i="4" s="1"/>
  <c r="M121" i="4"/>
  <c r="N121" i="4"/>
  <c r="O121" i="4" s="1"/>
  <c r="T121" i="4" s="1"/>
  <c r="L122" i="4"/>
  <c r="S122" i="4" s="1"/>
  <c r="M122" i="4"/>
  <c r="N122" i="4"/>
  <c r="O122" i="4" s="1"/>
  <c r="T122" i="4" s="1"/>
  <c r="L123" i="4"/>
  <c r="S123" i="4" s="1"/>
  <c r="M123" i="4"/>
  <c r="N123" i="4"/>
  <c r="O123" i="4" s="1"/>
  <c r="T123" i="4" s="1"/>
  <c r="L124" i="4"/>
  <c r="S124" i="4" s="1"/>
  <c r="M124" i="4"/>
  <c r="N124" i="4"/>
  <c r="O124" i="4" s="1"/>
  <c r="T124" i="4" s="1"/>
  <c r="L125" i="4"/>
  <c r="S125" i="4" s="1"/>
  <c r="M125" i="4"/>
  <c r="N125" i="4"/>
  <c r="O125" i="4" s="1"/>
  <c r="T125" i="4" s="1"/>
  <c r="L126" i="4"/>
  <c r="S126" i="4" s="1"/>
  <c r="M126" i="4"/>
  <c r="N126" i="4"/>
  <c r="O126" i="4" s="1"/>
  <c r="T126" i="4" s="1"/>
  <c r="L127" i="4"/>
  <c r="S127" i="4" s="1"/>
  <c r="M127" i="4"/>
  <c r="N127" i="4"/>
  <c r="O127" i="4" s="1"/>
  <c r="T127" i="4" s="1"/>
  <c r="L128" i="4"/>
  <c r="S128" i="4" s="1"/>
  <c r="M128" i="4"/>
  <c r="N128" i="4"/>
  <c r="O128" i="4" s="1"/>
  <c r="T128" i="4" s="1"/>
  <c r="L129" i="4"/>
  <c r="S129" i="4" s="1"/>
  <c r="M129" i="4"/>
  <c r="N129" i="4"/>
  <c r="O129" i="4" s="1"/>
  <c r="T129" i="4" s="1"/>
  <c r="L130" i="4"/>
  <c r="S130" i="4" s="1"/>
  <c r="M130" i="4"/>
  <c r="N130" i="4"/>
  <c r="O130" i="4" s="1"/>
  <c r="T130" i="4" s="1"/>
  <c r="L131" i="4"/>
  <c r="S131" i="4" s="1"/>
  <c r="M131" i="4"/>
  <c r="N131" i="4"/>
  <c r="O131" i="4" s="1"/>
  <c r="T131" i="4" s="1"/>
  <c r="L132" i="4"/>
  <c r="S132" i="4" s="1"/>
  <c r="M132" i="4"/>
  <c r="N132" i="4"/>
  <c r="O132" i="4" s="1"/>
  <c r="T132" i="4" s="1"/>
  <c r="L133" i="4"/>
  <c r="S133" i="4" s="1"/>
  <c r="M133" i="4"/>
  <c r="N133" i="4"/>
  <c r="O133" i="4" s="1"/>
  <c r="T133" i="4" s="1"/>
  <c r="L134" i="4"/>
  <c r="S134" i="4" s="1"/>
  <c r="M134" i="4"/>
  <c r="N134" i="4"/>
  <c r="O134" i="4" s="1"/>
  <c r="T134" i="4" s="1"/>
  <c r="L135" i="4"/>
  <c r="S135" i="4" s="1"/>
  <c r="M135" i="4"/>
  <c r="N135" i="4"/>
  <c r="O135" i="4" s="1"/>
  <c r="T135" i="4" s="1"/>
  <c r="L136" i="4"/>
  <c r="S136" i="4" s="1"/>
  <c r="M136" i="4"/>
  <c r="N136" i="4"/>
  <c r="O136" i="4" s="1"/>
  <c r="T136" i="4" s="1"/>
  <c r="L137" i="4"/>
  <c r="S137" i="4" s="1"/>
  <c r="M137" i="4"/>
  <c r="N137" i="4"/>
  <c r="O137" i="4" s="1"/>
  <c r="T137" i="4" s="1"/>
  <c r="L138" i="4"/>
  <c r="S138" i="4" s="1"/>
  <c r="M138" i="4"/>
  <c r="N138" i="4"/>
  <c r="O138" i="4" s="1"/>
  <c r="T138" i="4" s="1"/>
  <c r="L139" i="4"/>
  <c r="S139" i="4" s="1"/>
  <c r="M139" i="4"/>
  <c r="N139" i="4"/>
  <c r="O139" i="4" s="1"/>
  <c r="T139" i="4" s="1"/>
  <c r="L140" i="4"/>
  <c r="S140" i="4" s="1"/>
  <c r="M140" i="4"/>
  <c r="N140" i="4"/>
  <c r="O140" i="4"/>
  <c r="T140" i="4" s="1"/>
  <c r="L141" i="4"/>
  <c r="S141" i="4" s="1"/>
  <c r="M141" i="4"/>
  <c r="N141" i="4"/>
  <c r="O141" i="4" s="1"/>
  <c r="T141" i="4" s="1"/>
  <c r="L142" i="4"/>
  <c r="S142" i="4" s="1"/>
  <c r="M142" i="4"/>
  <c r="N142" i="4"/>
  <c r="O142" i="4" s="1"/>
  <c r="T142" i="4" s="1"/>
  <c r="L143" i="4"/>
  <c r="S143" i="4" s="1"/>
  <c r="M143" i="4"/>
  <c r="N143" i="4"/>
  <c r="O143" i="4" s="1"/>
  <c r="T143" i="4" s="1"/>
  <c r="L144" i="4"/>
  <c r="S144" i="4" s="1"/>
  <c r="M144" i="4"/>
  <c r="N144" i="4"/>
  <c r="O144" i="4" s="1"/>
  <c r="T144" i="4" s="1"/>
  <c r="L145" i="4"/>
  <c r="S145" i="4" s="1"/>
  <c r="M145" i="4"/>
  <c r="N145" i="4"/>
  <c r="O145" i="4" s="1"/>
  <c r="T145" i="4" s="1"/>
  <c r="L146" i="4"/>
  <c r="S146" i="4" s="1"/>
  <c r="M146" i="4"/>
  <c r="N146" i="4"/>
  <c r="O146" i="4" s="1"/>
  <c r="T146" i="4" s="1"/>
  <c r="L147" i="4"/>
  <c r="S147" i="4" s="1"/>
  <c r="M147" i="4"/>
  <c r="N147" i="4"/>
  <c r="O147" i="4" s="1"/>
  <c r="T147" i="4" s="1"/>
  <c r="L148" i="4"/>
  <c r="S148" i="4" s="1"/>
  <c r="M148" i="4"/>
  <c r="N148" i="4"/>
  <c r="O148" i="4" s="1"/>
  <c r="T148" i="4" s="1"/>
  <c r="L149" i="4"/>
  <c r="S149" i="4" s="1"/>
  <c r="M149" i="4"/>
  <c r="N149" i="4"/>
  <c r="O149" i="4" s="1"/>
  <c r="T149" i="4" s="1"/>
  <c r="L150" i="4"/>
  <c r="S150" i="4" s="1"/>
  <c r="M150" i="4"/>
  <c r="N150" i="4"/>
  <c r="O150" i="4" s="1"/>
  <c r="T150" i="4" s="1"/>
  <c r="L151" i="4"/>
  <c r="S151" i="4" s="1"/>
  <c r="M151" i="4"/>
  <c r="N151" i="4"/>
  <c r="O151" i="4" s="1"/>
  <c r="T15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4EE20-28E7-45F4-8192-9D443821D111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5B50B6A0-1727-40FA-924A-8F59037E7B22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<sst xmlns="http://schemas.openxmlformats.org/spreadsheetml/2006/main" count="2879" uniqueCount="305">
  <si>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</si>
  <si>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</si>
  <si>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</si>
  <si>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</si>
  <si>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</si>
  <si>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</si>
  <si>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</si>
  <si>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</si>
  <si>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</si>
  <si>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</si>
  <si>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</si>
  <si>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</si>
  <si>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</si>
  <si>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</si>
  <si>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</si>
  <si>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</si>
  <si>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</si>
  <si>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</si>
  <si>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</si>
  <si>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</si>
  <si>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</si>
  <si>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</si>
  <si>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</si>
  <si>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</si>
  <si>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</si>
  <si>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</si>
  <si>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</si>
  <si>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</si>
  <si>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</si>
  <si>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</si>
  <si>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</si>
  <si>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</si>
  <si>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</si>
  <si>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</si>
  <si>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</si>
  <si>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</si>
  <si>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</si>
  <si>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</si>
  <si>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</si>
  <si>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</si>
  <si>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</si>
  <si>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</si>
  <si>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</si>
  <si>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</si>
  <si>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</si>
  <si>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</si>
  <si>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</si>
  <si>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</si>
  <si>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</si>
  <si>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</si>
  <si>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</si>
  <si>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</si>
  <si>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</si>
  <si>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</si>
  <si>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</si>
  <si>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</si>
  <si>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</si>
  <si>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</si>
  <si>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</si>
  <si>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</si>
  <si>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</si>
  <si>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</si>
  <si>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</si>
  <si>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</si>
  <si>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</si>
  <si>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</si>
  <si>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</si>
  <si>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</si>
  <si>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</si>
  <si>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</si>
  <si>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</si>
  <si>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</si>
  <si>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</si>
  <si>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</si>
  <si>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</si>
  <si>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</si>
  <si>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</si>
  <si>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</si>
  <si>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</si>
  <si>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</si>
  <si>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</si>
  <si>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</si>
  <si>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</si>
  <si>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</si>
  <si>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</si>
  <si>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</si>
  <si>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</si>
  <si>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</si>
  <si>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</si>
  <si>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</si>
  <si>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</si>
  <si>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</si>
  <si>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</si>
  <si>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</si>
  <si>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</si>
  <si>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</si>
  <si>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</si>
  <si>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</si>
  <si>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</si>
  <si>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</si>
  <si>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</si>
  <si>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</si>
  <si>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</si>
  <si>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</si>
  <si>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</si>
  <si>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</si>
  <si>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</si>
  <si>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</si>
  <si>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</si>
  <si>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</si>
  <si>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</si>
  <si>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</si>
  <si>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</si>
  <si>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</si>
  <si>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</si>
  <si>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</si>
  <si>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</si>
  <si>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</si>
  <si>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</si>
  <si>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</si>
  <si>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</si>
  <si>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</si>
  <si>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</si>
  <si>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</si>
  <si>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</si>
  <si>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</si>
  <si>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</si>
  <si>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</si>
  <si>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</si>
  <si>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</si>
  <si>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</si>
  <si>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</si>
  <si>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</si>
  <si>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</si>
  <si>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</si>
  <si>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</si>
  <si>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</si>
  <si>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</si>
  <si>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</si>
  <si>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</si>
  <si>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</si>
  <si>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</si>
  <si>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</si>
  <si>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</si>
  <si>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</si>
  <si>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</si>
  <si>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</si>
  <si>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</si>
  <si>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</si>
  <si>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</si>
  <si>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</si>
  <si>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</si>
  <si>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</si>
  <si>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</si>
  <si>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</si>
  <si>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</si>
  <si>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</si>
  <si>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</si>
  <si>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</si>
  <si>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</si>
  <si>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</si>
  <si>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</si>
  <si>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</si>
  <si>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</si>
  <si>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</si>
  <si>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</si>
  <si>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</si>
  <si>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</si>
  <si>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</si>
  <si>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</si>
  <si>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</si>
  <si>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</si>
  <si>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</si>
  <si>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</si>
  <si>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</si>
  <si>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</si>
  <si>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</si>
  <si>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</si>
  <si>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</si>
  <si>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</si>
  <si>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</si>
  <si>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</si>
  <si>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</si>
  <si>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</si>
  <si>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</si>
  <si>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</si>
  <si>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</si>
  <si>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</si>
  <si>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</si>
  <si>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</si>
  <si>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</si>
  <si>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</si>
  <si>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</si>
  <si>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</si>
  <si>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</si>
  <si>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</si>
  <si>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</si>
  <si>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</si>
  <si>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</si>
  <si>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</si>
  <si>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</si>
  <si>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</si>
  <si>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</si>
  <si>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</si>
  <si>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</si>
  <si>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</si>
  <si>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</si>
  <si>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</si>
  <si>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</si>
  <si>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</si>
  <si>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</si>
  <si>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</si>
  <si>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</si>
  <si>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</si>
  <si>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</si>
  <si>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</si>
  <si>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</si>
  <si>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</si>
  <si>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</si>
  <si>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</si>
  <si>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</si>
  <si>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</si>
  <si>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</si>
  <si>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</si>
  <si>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</si>
  <si>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</si>
  <si>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</si>
  <si>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</si>
  <si>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</si>
  <si>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</si>
  <si>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</si>
  <si>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</si>
  <si>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</si>
  <si>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</si>
  <si>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</si>
  <si>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</si>
  <si>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</si>
  <si>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</si>
  <si>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</si>
  <si>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</si>
  <si>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</si>
  <si>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</si>
  <si>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</si>
  <si>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</si>
  <si>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</si>
  <si>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</si>
  <si>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</si>
  <si>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</si>
  <si>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</si>
  <si>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</si>
  <si>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</si>
  <si>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</si>
  <si>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</si>
  <si>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</si>
  <si>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</si>
  <si>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</si>
  <si>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</si>
  <si>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</si>
  <si>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</si>
  <si>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</si>
  <si>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</si>
  <si>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</si>
  <si>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</si>
  <si>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</si>
  <si>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</si>
  <si>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</si>
  <si>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</si>
  <si>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</si>
  <si>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</si>
  <si>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</si>
  <si>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</si>
  <si>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</si>
  <si>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</si>
  <si>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</si>
  <si>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</si>
  <si>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</si>
  <si>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</si>
  <si>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</si>
  <si>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</si>
  <si>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</si>
  <si>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</si>
  <si>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Salary2</t>
  </si>
  <si>
    <t>Date of Joining2</t>
  </si>
  <si>
    <t>Performance Rating2</t>
  </si>
  <si>
    <t>Performance Rating22</t>
  </si>
  <si>
    <t>Gender2</t>
  </si>
  <si>
    <t>Employee ID2</t>
  </si>
  <si>
    <t>EMP</t>
  </si>
  <si>
    <t>Employee ID3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</si>
  <si>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</si>
  <si>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</si>
  <si>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</si>
  <si>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</si>
  <si>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</si>
  <si>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</si>
  <si>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</si>
  <si>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</si>
  <si>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</si>
  <si>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</si>
  <si>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</si>
  <si>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</si>
  <si>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</si>
  <si>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</t>
  </si>
  <si>
    <t>Bottom 5 performers based on performance ratings and Salary</t>
  </si>
  <si>
    <t>Top 5 performers based on performance ratings and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</si>
</sst>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\ hh:mm:ss"/>
    <numFmt numFmtId="165" formatCode="&quot;$&quot;#,##0"/>
    <numFmt numFmtId="166" formatCode="_(&quot;$&quot;* #,##0_);_(&quot;$&quot;* \(#,##0\);_(&quot;$&quot;* &quot;-&quot;??_);_(@_)"/>
    <numFmt numFmtId="167" formatCode="dd/mm/yyyy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theme="9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left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165" fontId="0" fillId="0" borderId="0" xfId="0" applyNumberFormat="1"/>
    <xf numFmtId="165" fontId="2" fillId="3" borderId="0" xfId="0" applyNumberFormat="1" applyFont="1" applyFill="1"/>
    <xf numFmtId="166" fontId="0" fillId="0" borderId="0" xfId="1" applyNumberFormat="1" applyFont="1"/>
    <xf numFmtId="167" fontId="0" fillId="0" borderId="0" xfId="0" applyNumberFormat="1"/>
    <xf numFmtId="165" fontId="4" fillId="4" borderId="10" xfId="0" applyNumberFormat="1" applyFont="1" applyFill="1" applyBorder="1"/>
    <xf numFmtId="0" fontId="0" fillId="0" borderId="1" xfId="0" applyFill="1" applyBorder="1" applyAlignment="1"/>
    <xf numFmtId="0" fontId="4" fillId="6" borderId="1" xfId="0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5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65" fontId="4" fillId="4" borderId="11" xfId="0" applyNumberFormat="1" applyFont="1" applyFill="1" applyBorder="1" applyAlignment="1">
      <alignment horizontal="center"/>
    </xf>
    <xf numFmtId="165" fontId="4" fillId="4" borderId="4" xfId="0" applyNumberFormat="1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65" fontId="4" fillId="4" borderId="0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horizontal="left"/>
    </xf>
  </cellXfs>
  <cellStyles count="2">
    <cellStyle name="Currency" xfId="1" builtinId="4"/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167" formatCode="dd/mm/yyyy"/>
    </dxf>
    <dxf>
      <numFmt numFmtId="166" formatCode="_(&quot;$&quot;* #,##0_);_(&quot;$&quot;* \(#,##0\);_(&quot;$&quot;* &quot;-&quot;??_);_(@_)"/>
    </dxf>
    <dxf>
      <numFmt numFmtId="167" formatCode="dd/mm/yyyy"/>
    </dxf>
    <dxf>
      <numFmt numFmtId="165" formatCode="&quot;$&quot;#,##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7E3B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D208FD-522F-4DD4-8879-96BAC1D6606A}" autoFormatId="16" applyNumberFormats="0" applyBorderFormats="0" applyFontFormats="0" applyPatternFormats="0" applyAlignmentFormats="0" applyWidthHeightFormats="0">
  <queryTableRefresh nextId="21" unboundColumnsRight="5">
    <queryTableFields count="16">
      <queryTableField id="1" name="Employee ID" tableColumnId="1"/>
      <queryTableField id="19" dataBound="0" tableColumnId="17"/>
      <queryTableField id="20" dataBound="0" tableColumnId="18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dataBound="0" tableColumnId="10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9C425-6D0B-4193-9289-C74FC273EB56}" name="Table2" displayName="Table2" ref="A1:I151" totalsRowShown="0" headerRowDxfId="42" dataDxfId="40" headerRowBorderDxfId="41" tableBorderDxfId="39" totalsRowBorderDxfId="38">
  <tableColumns count="9">
    <tableColumn id="1" xr3:uid="{F250159C-DCF3-44BE-9408-1B12EBAD8863}" name="Employee ID" dataDxfId="37"/>
    <tableColumn id="2" xr3:uid="{D4E6FF39-DE9E-4121-AC45-7E0117E766DC}" name="Name" dataDxfId="36"/>
    <tableColumn id="3" xr3:uid="{F1F1DBCF-F3DB-4F82-AE0C-0E34CC6C8F25}" name="Department" dataDxfId="35"/>
    <tableColumn id="4" xr3:uid="{875E957B-AC13-4222-AE92-BCA1319865A4}" name="Country" dataDxfId="34"/>
    <tableColumn id="5" xr3:uid="{0371AE34-0A1F-4B9E-915F-603214C82693}" name="Salary" dataDxfId="33"/>
    <tableColumn id="6" xr3:uid="{48790BFA-79CE-409D-BC08-9394BAD3381C}" name="Date of Joining" dataDxfId="32"/>
    <tableColumn id="7" xr3:uid="{EFDB86DE-35F4-46AE-8609-781A8F8C184A}" name="Performance Rating" dataDxfId="31"/>
    <tableColumn id="8" xr3:uid="{69B44A31-D6B7-43D3-A57C-9AB737B0DCF7}" name="Gender" dataDxfId="30"/>
    <tableColumn id="9" xr3:uid="{FCD3118C-FD99-4027-99D3-49AC8907B94F}" name="Email" data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B554F-CF75-4E00-92C5-9E8402D42CE7}" name="Table1" displayName="Table1" ref="A1:I151" totalsRowShown="0" headerRowDxfId="28" headerRowBorderDxfId="27" tableBorderDxfId="26" totalsRowBorderDxfId="25">
  <tableColumns count="9">
    <tableColumn id="1" xr3:uid="{7AFFCD28-3D68-43F2-8068-D02C2415080D}" name="Employee ID" dataDxfId="24"/>
    <tableColumn id="2" xr3:uid="{4D098C35-7C83-4C0B-8649-DF6C077F7516}" name="Name" dataDxfId="23"/>
    <tableColumn id="3" xr3:uid="{88123662-7EE0-4EB0-957C-B9702099B74F}" name="Department" dataDxfId="22"/>
    <tableColumn id="4" xr3:uid="{58543BBA-1381-470A-8E62-7E1AC182556E}" name="Country" dataDxfId="21"/>
    <tableColumn id="5" xr3:uid="{DB9EDD89-EF3B-4086-8FE2-74BCCD227C2D}" name="Salary" dataDxfId="20"/>
    <tableColumn id="6" xr3:uid="{6DFE3279-F060-4B27-8C9E-FEF5C863939B}" name="Date of Joining" dataDxfId="19"/>
    <tableColumn id="7" xr3:uid="{A08A414A-8AC4-460B-A930-79D8B4AC62BC}" name="Performance Rating" dataDxfId="18"/>
    <tableColumn id="8" xr3:uid="{59603019-4852-41DC-9991-F31A2BC61C7E}" name="Gender" dataDxfId="17"/>
    <tableColumn id="9" xr3:uid="{4A5A1D14-EB1C-48AA-ACB7-E066203516A6}" name="Email" dataDxfId="1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ED7892-B1BA-4794-87B9-CB6943C4A335}" name="Table1_2" displayName="Table1_2" ref="A1:P151" tableType="queryTable" totalsRowShown="0">
  <tableColumns count="16">
    <tableColumn id="1" xr3:uid="{0842ABB7-AF5B-401F-9775-BDF9BCC47C1B}" uniqueName="1" name="Employee ID" queryTableFieldId="1"/>
    <tableColumn id="17" xr3:uid="{FE898AE5-3D12-4F7C-831F-A5C40624CE9E}" uniqueName="17" name="Employee ID2" queryTableFieldId="19" dataDxfId="7"/>
    <tableColumn id="18" xr3:uid="{7D10BE74-1E62-4B19-A73C-DEDF7FF35815}" uniqueName="18" name="Employee ID3" queryTableFieldId="20"/>
    <tableColumn id="2" xr3:uid="{949C528B-CDEB-4DBE-9EA3-02A92F7E1C58}" uniqueName="2" name="Name" queryTableFieldId="2"/>
    <tableColumn id="3" xr3:uid="{589F6203-4BB5-4E75-B66A-284250920F07}" uniqueName="3" name="Department" queryTableFieldId="3"/>
    <tableColumn id="4" xr3:uid="{CB206754-51F1-4703-9B17-301194C871AD}" uniqueName="4" name="Country" queryTableFieldId="4"/>
    <tableColumn id="5" xr3:uid="{89CE59A8-ABF6-4594-98AA-FEB69245BE52}" uniqueName="5" name="Salary" queryTableFieldId="5" dataDxfId="6"/>
    <tableColumn id="6" xr3:uid="{EE2DAA2F-E617-4999-BF99-0825BCD3BE2E}" uniqueName="6" name="Date of Joining" queryTableFieldId="6" dataDxfId="5"/>
    <tableColumn id="7" xr3:uid="{EBA5F4D1-01E1-442F-A370-25E8835A9498}" uniqueName="7" name="Performance Rating" queryTableFieldId="7"/>
    <tableColumn id="8" xr3:uid="{29ED7F5D-8862-4565-8319-78621016F228}" uniqueName="8" name="Gender" queryTableFieldId="8"/>
    <tableColumn id="9" xr3:uid="{29C1AF3C-7CA8-47AF-850E-FFE51269E82C}" uniqueName="9" name="Email" queryTableFieldId="9"/>
    <tableColumn id="10" xr3:uid="{7B070A67-F265-4BE0-ADAF-4B9B73D81893}" uniqueName="10" name="Salary2" queryTableFieldId="10" dataDxfId="4" dataCellStyle="Currency">
      <calculatedColumnFormula>IF(Table1_2[[#This Row],[Salary]]="N/A",AVERAGEIF(Table1_2[Department],Table1_2[[#This Row],[Department]],Table1_2[Salary]),Table1_2[[#This Row],[Salary]])</calculatedColumnFormula>
    </tableColumn>
    <tableColumn id="13" xr3:uid="{B3ED8A0E-1914-4F0A-A8AF-FDCCD36057DD}" uniqueName="13" name="Date of Joining2" queryTableFieldId="13" dataDxfId="3">
      <calculatedColumnFormula>IF(Table1_2[[#This Row],[Date of Joining]]="",AVERAGEIF(Table1_2[Department],Table1_2[[#This Row],[Department]],Table1_2[Date of Joining]),Table1_2[[#This Row],[Date of Joining]])</calculatedColumnFormula>
    </tableColumn>
    <tableColumn id="14" xr3:uid="{466203E1-6ECA-4076-84F5-115D41F080AC}" uniqueName="14" name="Performance Rating2" queryTableFieldId="14" dataDxfId="2">
      <calculatedColumnFormula>IF(Table1_2[[#This Row],[Performance Rating]]="",AVERAGEIF(Table1_2[Department],Table1_2[[#This Row],[Department]],Table1_2[Performance Rating]),Table1_2[[#This Row],[Performance Rating]])</calculatedColumnFormula>
    </tableColumn>
    <tableColumn id="15" xr3:uid="{E97443EC-0713-4A11-97AC-9652EC3E2487}" uniqueName="15" name="Performance Rating22" queryTableFieldId="15" dataDxfId="1">
      <calculatedColumnFormula>ROUND(Table1_2[[#This Row],[Performance Rating2]],0)</calculatedColumnFormula>
    </tableColumn>
    <tableColumn id="16" xr3:uid="{0B55B171-26ED-43DE-BD82-96F901AD06E6}" uniqueName="16" name="Gender2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1" t="s">
        <v>8</v>
      </c>
    </row>
    <row r="2" spans="1:9" x14ac:dyDescent="0.35">
      <c r="A2" s="4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0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0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0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0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0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0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0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0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0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0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0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0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0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0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0" t="s">
        <v>194</v>
      </c>
    </row>
    <row r="17" spans="1:9" x14ac:dyDescent="0.35">
      <c r="A17" s="4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0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0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0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0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0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0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0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0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0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0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0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0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0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0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0" t="s">
        <v>209</v>
      </c>
    </row>
    <row r="32" spans="1:9" x14ac:dyDescent="0.35">
      <c r="A32" s="4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0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0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0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0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0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0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0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0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0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0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0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0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0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0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0" t="s">
        <v>223</v>
      </c>
    </row>
    <row r="47" spans="1:9" x14ac:dyDescent="0.35">
      <c r="A47" s="4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0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0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0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0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0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0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0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0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0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0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0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0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0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0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0" t="s">
        <v>223</v>
      </c>
    </row>
    <row r="62" spans="1:9" x14ac:dyDescent="0.35">
      <c r="A62" s="4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0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0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0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0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0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0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0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0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0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0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0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0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0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0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0" t="s">
        <v>211</v>
      </c>
    </row>
    <row r="77" spans="1:9" x14ac:dyDescent="0.35">
      <c r="A77" s="4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0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0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0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0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0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0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0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0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0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0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0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0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0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0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0" t="s">
        <v>203</v>
      </c>
    </row>
    <row r="92" spans="1:9" x14ac:dyDescent="0.35">
      <c r="A92" s="4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0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0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0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0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0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0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0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0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0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0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0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0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0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0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0" t="s">
        <v>259</v>
      </c>
    </row>
    <row r="107" spans="1:9" x14ac:dyDescent="0.35">
      <c r="A107" s="4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0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0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0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0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0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0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0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0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0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0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0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0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0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0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0" t="s">
        <v>200</v>
      </c>
    </row>
    <row r="122" spans="1:9" x14ac:dyDescent="0.35">
      <c r="A122" s="4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0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0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0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0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0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0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0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0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0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0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0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0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0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0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0" t="s">
        <v>231</v>
      </c>
    </row>
    <row r="137" spans="1:9" x14ac:dyDescent="0.35">
      <c r="A137" s="4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0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0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0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0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0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0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0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0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0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0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0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0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0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0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12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BEF9-54C4-42B4-AF7F-8B930CD2D8AF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  <col min="10" max="10" width="11.906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4" t="s">
        <v>9</v>
      </c>
      <c r="B2" s="1" t="s">
        <v>178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4" t="s">
        <v>24</v>
      </c>
      <c r="B17" s="1" t="s">
        <v>178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35">
      <c r="A32" s="4" t="s">
        <v>39</v>
      </c>
      <c r="B32" s="1" t="s">
        <v>178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35">
      <c r="A47" s="4" t="s">
        <v>54</v>
      </c>
      <c r="B47" s="1" t="s">
        <v>178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35">
      <c r="A62" s="4" t="s">
        <v>69</v>
      </c>
      <c r="B62" s="1" t="s">
        <v>178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35">
      <c r="A77" s="4" t="s">
        <v>84</v>
      </c>
      <c r="B77" s="1" t="s">
        <v>178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4" t="s">
        <v>99</v>
      </c>
      <c r="B92" s="1" t="s">
        <v>178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35">
      <c r="A107" s="4" t="s">
        <v>114</v>
      </c>
      <c r="B107" s="1" t="s">
        <v>178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35">
      <c r="A122" s="4" t="s">
        <v>129</v>
      </c>
      <c r="B122" s="1" t="s">
        <v>178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4" t="s">
        <v>144</v>
      </c>
      <c r="B137" s="1" t="s">
        <v>178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8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0F8-6913-4AB0-9FC1-89FC88E4098D}">
  <dimension ref="A1:Y151"/>
  <sheetViews>
    <sheetView topLeftCell="O1" workbookViewId="0">
      <selection activeCell="V1" sqref="V1:W1"/>
    </sheetView>
  </sheetViews>
  <sheetFormatPr defaultRowHeight="14.5" x14ac:dyDescent="0.35"/>
  <cols>
    <col min="1" max="1" width="11.26953125" bestFit="1" customWidth="1"/>
    <col min="2" max="3" width="12.26953125" bestFit="1" customWidth="1"/>
    <col min="4" max="4" width="11.453125" bestFit="1" customWidth="1"/>
    <col min="5" max="5" width="11.08984375" bestFit="1" customWidth="1"/>
    <col min="6" max="6" width="8.453125" bestFit="1" customWidth="1"/>
    <col min="7" max="7" width="7.26953125" bestFit="1" customWidth="1"/>
    <col min="8" max="8" width="13.26953125" bestFit="1" customWidth="1"/>
    <col min="9" max="9" width="17.54296875" bestFit="1" customWidth="1"/>
    <col min="10" max="10" width="8.81640625" bestFit="1" customWidth="1"/>
    <col min="11" max="11" width="20.6328125" bestFit="1" customWidth="1"/>
    <col min="12" max="12" width="8.54296875" bestFit="1" customWidth="1"/>
    <col min="13" max="13" width="14.26953125" bestFit="1" customWidth="1"/>
    <col min="14" max="14" width="18.54296875" bestFit="1" customWidth="1"/>
    <col min="15" max="15" width="19.54296875" bestFit="1" customWidth="1"/>
    <col min="16" max="16" width="8.81640625" bestFit="1" customWidth="1"/>
    <col min="20" max="20" width="18.54296875" bestFit="1" customWidth="1"/>
    <col min="22" max="22" width="16.81640625" bestFit="1" customWidth="1"/>
    <col min="23" max="23" width="12.453125" bestFit="1" customWidth="1"/>
    <col min="24" max="24" width="16.81640625" bestFit="1" customWidth="1"/>
    <col min="25" max="25" width="12.453125" bestFit="1" customWidth="1"/>
  </cols>
  <sheetData>
    <row r="1" spans="1:25" x14ac:dyDescent="0.35">
      <c r="A1" t="s">
        <v>0</v>
      </c>
      <c r="B1" s="14" t="s">
        <v>286</v>
      </c>
      <c r="C1" s="14" t="s">
        <v>288</v>
      </c>
      <c r="D1" t="s">
        <v>1</v>
      </c>
      <c r="E1" t="s">
        <v>2</v>
      </c>
      <c r="F1" t="s">
        <v>3</v>
      </c>
      <c r="G1" s="13" t="s">
        <v>4</v>
      </c>
      <c r="H1" t="s">
        <v>5</v>
      </c>
      <c r="I1" t="s">
        <v>6</v>
      </c>
      <c r="J1" t="s">
        <v>7</v>
      </c>
      <c r="K1" t="s">
        <v>8</v>
      </c>
      <c r="L1" s="14" t="s">
        <v>281</v>
      </c>
      <c r="M1" s="14" t="s">
        <v>282</v>
      </c>
      <c r="N1" s="14" t="s">
        <v>283</v>
      </c>
      <c r="O1" s="14" t="s">
        <v>284</v>
      </c>
      <c r="P1" s="14" t="s">
        <v>285</v>
      </c>
      <c r="S1" s="17" t="s">
        <v>281</v>
      </c>
      <c r="T1" s="17" t="s">
        <v>283</v>
      </c>
      <c r="V1" s="26" t="s">
        <v>281</v>
      </c>
      <c r="W1" s="27"/>
      <c r="X1" s="26" t="s">
        <v>283</v>
      </c>
      <c r="Y1" s="27"/>
    </row>
    <row r="2" spans="1:25" x14ac:dyDescent="0.35">
      <c r="A2" t="s">
        <v>9</v>
      </c>
      <c r="B2" t="s">
        <v>287</v>
      </c>
      <c r="C2">
        <v>1000</v>
      </c>
      <c r="D2" t="s">
        <v>178</v>
      </c>
      <c r="E2" t="s">
        <v>166</v>
      </c>
      <c r="F2" t="s">
        <v>174</v>
      </c>
      <c r="G2" s="13" t="s">
        <v>177</v>
      </c>
      <c r="H2" s="16"/>
      <c r="I2">
        <v>2</v>
      </c>
      <c r="J2" t="s">
        <v>178</v>
      </c>
      <c r="K2" t="s">
        <v>182</v>
      </c>
      <c r="L2" s="15">
        <f>IF(Table1_2[[#This Row],[Salary]]="N/A",AVERAGEIF(Table1_2[Department],Table1_2[[#This Row],[Department]],Table1_2[Salary]),Table1_2[[#This Row],[Salary]])</f>
        <v>65604.55</v>
      </c>
      <c r="M2" s="16">
        <f>IF(Table1_2[[#This Row],[Date of Joining]]="",AVERAGEIF(Table1_2[Department],Table1_2[[#This Row],[Department]],Table1_2[Date of Joining]),Table1_2[[#This Row],[Date of Joining]])</f>
        <v>42454.25</v>
      </c>
      <c r="N2">
        <f>IF(Table1_2[[#This Row],[Performance Rating]]="",AVERAGEIF(Table1_2[Department],Table1_2[[#This Row],[Department]],Table1_2[Performance Rating]),Table1_2[[#This Row],[Performance Rating]])</f>
        <v>2</v>
      </c>
      <c r="O2">
        <f>ROUND(Table1_2[[#This Row],[Performance Rating2]],0)</f>
        <v>2</v>
      </c>
      <c r="P2" t="s">
        <v>178</v>
      </c>
      <c r="S2">
        <f>ROUND(VALUE(Table1_2[[#This Row],[Salary2]]),0)</f>
        <v>65605</v>
      </c>
      <c r="T2">
        <f>VALUE(Table1_2[[#This Row],[Performance Rating22]])</f>
        <v>2</v>
      </c>
      <c r="V2" s="18" t="s">
        <v>289</v>
      </c>
      <c r="W2" s="18">
        <v>66268.266666666663</v>
      </c>
      <c r="X2" s="18" t="s">
        <v>289</v>
      </c>
      <c r="Y2" s="18">
        <v>2.8933333333333335</v>
      </c>
    </row>
    <row r="3" spans="1:25" x14ac:dyDescent="0.35">
      <c r="A3" t="s">
        <v>10</v>
      </c>
      <c r="B3" t="s">
        <v>287</v>
      </c>
      <c r="C3">
        <v>1001</v>
      </c>
      <c r="D3" t="s">
        <v>159</v>
      </c>
      <c r="E3" t="s">
        <v>167</v>
      </c>
      <c r="F3" t="s">
        <v>172</v>
      </c>
      <c r="G3" s="13">
        <v>54255</v>
      </c>
      <c r="H3" s="16">
        <v>42015</v>
      </c>
      <c r="I3">
        <v>1</v>
      </c>
      <c r="J3" t="s">
        <v>179</v>
      </c>
      <c r="K3" t="s">
        <v>183</v>
      </c>
      <c r="L3" s="15">
        <f>IF(Table1_2[[#This Row],[Salary]]="N/A",AVERAGEIF(Table1_2[Department],Table1_2[[#This Row],[Department]],Table1_2[Salary]),Table1_2[[#This Row],[Salary]])</f>
        <v>54255</v>
      </c>
      <c r="M3" s="16">
        <f>IF(Table1_2[[#This Row],[Date of Joining]]="",AVERAGEIF(Table1_2[Department],Table1_2[[#This Row],[Department]],Table1_2[Date of Joining]),Table1_2[[#This Row],[Date of Joining]])</f>
        <v>42015</v>
      </c>
      <c r="N3">
        <f>IF(Table1_2[[#This Row],[Performance Rating]]="",AVERAGEIF(Table1_2[Department],Table1_2[[#This Row],[Department]],Table1_2[Performance Rating]),Table1_2[[#This Row],[Performance Rating]])</f>
        <v>1</v>
      </c>
      <c r="O3">
        <f>ROUND(Table1_2[[#This Row],[Performance Rating2]],0)</f>
        <v>1</v>
      </c>
      <c r="P3" t="s">
        <v>179</v>
      </c>
      <c r="S3">
        <f>ROUND(VALUE(Table1_2[[#This Row],[Salary2]]),0)</f>
        <v>54255</v>
      </c>
      <c r="T3">
        <f>VALUE(Table1_2[[#This Row],[Performance Rating22]])</f>
        <v>1</v>
      </c>
      <c r="V3" s="18" t="s">
        <v>290</v>
      </c>
      <c r="W3" s="18">
        <v>1718.3627457714465</v>
      </c>
      <c r="X3" s="18" t="s">
        <v>290</v>
      </c>
      <c r="Y3" s="18">
        <v>0.10750231948662189</v>
      </c>
    </row>
    <row r="4" spans="1:25" x14ac:dyDescent="0.35">
      <c r="A4" t="s">
        <v>11</v>
      </c>
      <c r="B4" t="s">
        <v>287</v>
      </c>
      <c r="C4">
        <v>1002</v>
      </c>
      <c r="D4" t="s">
        <v>160</v>
      </c>
      <c r="E4" t="s">
        <v>166</v>
      </c>
      <c r="F4" t="s">
        <v>172</v>
      </c>
      <c r="G4" s="13">
        <v>63184</v>
      </c>
      <c r="H4" s="16">
        <v>42022</v>
      </c>
      <c r="I4">
        <v>2</v>
      </c>
      <c r="K4" t="s">
        <v>184</v>
      </c>
      <c r="L4" s="15">
        <f>IF(Table1_2[[#This Row],[Salary]]="N/A",AVERAGEIF(Table1_2[Department],Table1_2[[#This Row],[Department]],Table1_2[Salary]),Table1_2[[#This Row],[Salary]])</f>
        <v>63184</v>
      </c>
      <c r="M4" s="16">
        <f>IF(Table1_2[[#This Row],[Date of Joining]]="",AVERAGEIF(Table1_2[Department],Table1_2[[#This Row],[Department]],Table1_2[Date of Joining]),Table1_2[[#This Row],[Date of Joining]])</f>
        <v>42022</v>
      </c>
      <c r="N4">
        <f>IF(Table1_2[[#This Row],[Performance Rating]]="",AVERAGEIF(Table1_2[Department],Table1_2[[#This Row],[Department]],Table1_2[Performance Rating]),Table1_2[[#This Row],[Performance Rating]])</f>
        <v>2</v>
      </c>
      <c r="O4">
        <f>ROUND(Table1_2[[#This Row],[Performance Rating2]],0)</f>
        <v>2</v>
      </c>
      <c r="P4" t="s">
        <v>180</v>
      </c>
      <c r="S4">
        <f>ROUND(VALUE(Table1_2[[#This Row],[Salary2]]),0)</f>
        <v>63184</v>
      </c>
      <c r="T4">
        <f>VALUE(Table1_2[[#This Row],[Performance Rating22]])</f>
        <v>2</v>
      </c>
      <c r="V4" s="18" t="s">
        <v>291</v>
      </c>
      <c r="W4" s="18">
        <v>66330.5</v>
      </c>
      <c r="X4" s="18" t="s">
        <v>291</v>
      </c>
      <c r="Y4" s="18">
        <v>3</v>
      </c>
    </row>
    <row r="5" spans="1:25" x14ac:dyDescent="0.35">
      <c r="A5" t="s">
        <v>12</v>
      </c>
      <c r="B5" t="s">
        <v>287</v>
      </c>
      <c r="C5">
        <v>1003</v>
      </c>
      <c r="D5" t="s">
        <v>161</v>
      </c>
      <c r="E5" t="s">
        <v>168</v>
      </c>
      <c r="F5" t="s">
        <v>173</v>
      </c>
      <c r="G5" s="13">
        <v>94406</v>
      </c>
      <c r="H5" s="16">
        <v>42029</v>
      </c>
      <c r="I5">
        <v>1</v>
      </c>
      <c r="J5" t="s">
        <v>180</v>
      </c>
      <c r="K5" t="s">
        <v>185</v>
      </c>
      <c r="L5" s="15">
        <f>IF(Table1_2[[#This Row],[Salary]]="N/A",AVERAGEIF(Table1_2[Department],Table1_2[[#This Row],[Department]],Table1_2[Salary]),Table1_2[[#This Row],[Salary]])</f>
        <v>94406</v>
      </c>
      <c r="M5" s="16">
        <f>IF(Table1_2[[#This Row],[Date of Joining]]="",AVERAGEIF(Table1_2[Department],Table1_2[[#This Row],[Department]],Table1_2[Date of Joining]),Table1_2[[#This Row],[Date of Joining]])</f>
        <v>42029</v>
      </c>
      <c r="N5">
        <f>IF(Table1_2[[#This Row],[Performance Rating]]="",AVERAGEIF(Table1_2[Department],Table1_2[[#This Row],[Department]],Table1_2[Performance Rating]),Table1_2[[#This Row],[Performance Rating]])</f>
        <v>1</v>
      </c>
      <c r="O5">
        <f>ROUND(Table1_2[[#This Row],[Performance Rating2]],0)</f>
        <v>1</v>
      </c>
      <c r="P5" t="s">
        <v>180</v>
      </c>
      <c r="S5">
        <f>ROUND(VALUE(Table1_2[[#This Row],[Salary2]]),0)</f>
        <v>94406</v>
      </c>
      <c r="T5">
        <f>VALUE(Table1_2[[#This Row],[Performance Rating22]])</f>
        <v>1</v>
      </c>
      <c r="V5" s="18" t="s">
        <v>292</v>
      </c>
      <c r="W5" s="18">
        <v>65072</v>
      </c>
      <c r="X5" s="18" t="s">
        <v>292</v>
      </c>
      <c r="Y5" s="18">
        <v>3</v>
      </c>
    </row>
    <row r="6" spans="1:25" x14ac:dyDescent="0.35">
      <c r="A6" t="s">
        <v>13</v>
      </c>
      <c r="B6" t="s">
        <v>287</v>
      </c>
      <c r="C6">
        <v>1004</v>
      </c>
      <c r="D6" t="s">
        <v>162</v>
      </c>
      <c r="E6" t="s">
        <v>168</v>
      </c>
      <c r="F6" t="s">
        <v>172</v>
      </c>
      <c r="G6" s="13">
        <v>64120</v>
      </c>
      <c r="H6" s="16">
        <v>42036</v>
      </c>
      <c r="I6">
        <v>1</v>
      </c>
      <c r="J6" t="s">
        <v>180</v>
      </c>
      <c r="K6" t="s">
        <v>186</v>
      </c>
      <c r="L6" s="15">
        <f>IF(Table1_2[[#This Row],[Salary]]="N/A",AVERAGEIF(Table1_2[Department],Table1_2[[#This Row],[Department]],Table1_2[Salary]),Table1_2[[#This Row],[Salary]])</f>
        <v>64120</v>
      </c>
      <c r="M6" s="16">
        <f>IF(Table1_2[[#This Row],[Date of Joining]]="",AVERAGEIF(Table1_2[Department],Table1_2[[#This Row],[Department]],Table1_2[Date of Joining]),Table1_2[[#This Row],[Date of Joining]])</f>
        <v>42036</v>
      </c>
      <c r="N6">
        <f>IF(Table1_2[[#This Row],[Performance Rating]]="",AVERAGEIF(Table1_2[Department],Table1_2[[#This Row],[Department]],Table1_2[Performance Rating]),Table1_2[[#This Row],[Performance Rating]])</f>
        <v>1</v>
      </c>
      <c r="O6">
        <f>ROUND(Table1_2[[#This Row],[Performance Rating2]],0)</f>
        <v>1</v>
      </c>
      <c r="P6" t="s">
        <v>180</v>
      </c>
      <c r="S6">
        <f>ROUND(VALUE(Table1_2[[#This Row],[Salary2]]),0)</f>
        <v>64120</v>
      </c>
      <c r="T6">
        <f>VALUE(Table1_2[[#This Row],[Performance Rating22]])</f>
        <v>1</v>
      </c>
      <c r="V6" s="18" t="s">
        <v>293</v>
      </c>
      <c r="W6" s="18">
        <v>21045.559600739482</v>
      </c>
      <c r="X6" s="18" t="s">
        <v>293</v>
      </c>
      <c r="Y6" s="18">
        <v>1.3166291445394025</v>
      </c>
    </row>
    <row r="7" spans="1:25" x14ac:dyDescent="0.35">
      <c r="A7" t="s">
        <v>14</v>
      </c>
      <c r="B7" t="s">
        <v>287</v>
      </c>
      <c r="C7">
        <v>1005</v>
      </c>
      <c r="D7" t="s">
        <v>160</v>
      </c>
      <c r="E7" t="s">
        <v>169</v>
      </c>
      <c r="F7" t="s">
        <v>174</v>
      </c>
      <c r="G7" s="13">
        <v>78421</v>
      </c>
      <c r="H7" s="16">
        <v>42043</v>
      </c>
      <c r="I7">
        <v>2</v>
      </c>
      <c r="J7" t="s">
        <v>181</v>
      </c>
      <c r="K7" t="s">
        <v>187</v>
      </c>
      <c r="L7" s="15">
        <f>IF(Table1_2[[#This Row],[Salary]]="N/A",AVERAGEIF(Table1_2[Department],Table1_2[[#This Row],[Department]],Table1_2[Salary]),Table1_2[[#This Row],[Salary]])</f>
        <v>78421</v>
      </c>
      <c r="M7" s="16">
        <f>IF(Table1_2[[#This Row],[Date of Joining]]="",AVERAGEIF(Table1_2[Department],Table1_2[[#This Row],[Department]],Table1_2[Date of Joining]),Table1_2[[#This Row],[Date of Joining]])</f>
        <v>42043</v>
      </c>
      <c r="N7">
        <f>IF(Table1_2[[#This Row],[Performance Rating]]="",AVERAGEIF(Table1_2[Department],Table1_2[[#This Row],[Department]],Table1_2[Performance Rating]),Table1_2[[#This Row],[Performance Rating]])</f>
        <v>2</v>
      </c>
      <c r="O7">
        <f>ROUND(Table1_2[[#This Row],[Performance Rating2]],0)</f>
        <v>2</v>
      </c>
      <c r="P7" t="s">
        <v>181</v>
      </c>
      <c r="S7">
        <f>ROUND(VALUE(Table1_2[[#This Row],[Salary2]]),0)</f>
        <v>78421</v>
      </c>
      <c r="T7">
        <f>VALUE(Table1_2[[#This Row],[Performance Rating22]])</f>
        <v>2</v>
      </c>
      <c r="V7" s="18" t="s">
        <v>294</v>
      </c>
      <c r="W7" s="18">
        <v>442915578.90827769</v>
      </c>
      <c r="X7" s="18" t="s">
        <v>294</v>
      </c>
      <c r="Y7" s="18">
        <v>1.7335123042505589</v>
      </c>
    </row>
    <row r="8" spans="1:25" x14ac:dyDescent="0.35">
      <c r="A8" t="s">
        <v>15</v>
      </c>
      <c r="B8" t="s">
        <v>287</v>
      </c>
      <c r="C8">
        <v>1006</v>
      </c>
      <c r="D8" t="s">
        <v>163</v>
      </c>
      <c r="E8" t="s">
        <v>168</v>
      </c>
      <c r="F8" t="s">
        <v>174</v>
      </c>
      <c r="G8" s="13">
        <v>67721</v>
      </c>
      <c r="H8" s="16">
        <v>42050</v>
      </c>
      <c r="J8" t="s">
        <v>180</v>
      </c>
      <c r="K8" t="s">
        <v>185</v>
      </c>
      <c r="L8" s="15">
        <f>IF(Table1_2[[#This Row],[Salary]]="N/A",AVERAGEIF(Table1_2[Department],Table1_2[[#This Row],[Department]],Table1_2[Salary]),Table1_2[[#This Row],[Salary]])</f>
        <v>67721</v>
      </c>
      <c r="M8" s="16">
        <f>IF(Table1_2[[#This Row],[Date of Joining]]="",AVERAGEIF(Table1_2[Department],Table1_2[[#This Row],[Department]],Table1_2[Date of Joining]),Table1_2[[#This Row],[Date of Joining]])</f>
        <v>42050</v>
      </c>
      <c r="N8">
        <f>IF(Table1_2[[#This Row],[Performance Rating]]="",AVERAGEIF(Table1_2[Department],Table1_2[[#This Row],[Department]],Table1_2[Performance Rating]),Table1_2[[#This Row],[Performance Rating]])</f>
        <v>2.7272727272727271</v>
      </c>
      <c r="O8">
        <f>ROUND(Table1_2[[#This Row],[Performance Rating2]],0)</f>
        <v>3</v>
      </c>
      <c r="P8" t="s">
        <v>180</v>
      </c>
      <c r="S8">
        <f>ROUND(VALUE(Table1_2[[#This Row],[Salary2]]),0)</f>
        <v>67721</v>
      </c>
      <c r="T8">
        <f>VALUE(Table1_2[[#This Row],[Performance Rating22]])</f>
        <v>3</v>
      </c>
      <c r="V8" s="18" t="s">
        <v>295</v>
      </c>
      <c r="W8" s="18">
        <v>-1.1882233586724487</v>
      </c>
      <c r="X8" s="18" t="s">
        <v>295</v>
      </c>
      <c r="Y8" s="18">
        <v>-0.92673447257923369</v>
      </c>
    </row>
    <row r="9" spans="1:25" x14ac:dyDescent="0.35">
      <c r="A9" t="s">
        <v>16</v>
      </c>
      <c r="B9" t="s">
        <v>287</v>
      </c>
      <c r="C9">
        <v>1007</v>
      </c>
      <c r="D9" t="s">
        <v>164</v>
      </c>
      <c r="E9" t="s">
        <v>170</v>
      </c>
      <c r="F9" t="s">
        <v>174</v>
      </c>
      <c r="G9" s="13">
        <v>35364</v>
      </c>
      <c r="H9" s="16">
        <v>42057</v>
      </c>
      <c r="I9">
        <v>2</v>
      </c>
      <c r="J9" t="s">
        <v>179</v>
      </c>
      <c r="K9" t="s">
        <v>188</v>
      </c>
      <c r="L9" s="15">
        <f>IF(Table1_2[[#This Row],[Salary]]="N/A",AVERAGEIF(Table1_2[Department],Table1_2[[#This Row],[Department]],Table1_2[Salary]),Table1_2[[#This Row],[Salary]])</f>
        <v>35364</v>
      </c>
      <c r="M9" s="16">
        <f>IF(Table1_2[[#This Row],[Date of Joining]]="",AVERAGEIF(Table1_2[Department],Table1_2[[#This Row],[Department]],Table1_2[Date of Joining]),Table1_2[[#This Row],[Date of Joining]])</f>
        <v>42057</v>
      </c>
      <c r="N9">
        <f>IF(Table1_2[[#This Row],[Performance Rating]]="",AVERAGEIF(Table1_2[Department],Table1_2[[#This Row],[Department]],Table1_2[Performance Rating]),Table1_2[[#This Row],[Performance Rating]])</f>
        <v>2</v>
      </c>
      <c r="O9">
        <f>ROUND(Table1_2[[#This Row],[Performance Rating2]],0)</f>
        <v>2</v>
      </c>
      <c r="P9" t="s">
        <v>179</v>
      </c>
      <c r="S9">
        <f>ROUND(VALUE(Table1_2[[#This Row],[Salary2]]),0)</f>
        <v>35364</v>
      </c>
      <c r="T9">
        <f>VALUE(Table1_2[[#This Row],[Performance Rating22]])</f>
        <v>2</v>
      </c>
      <c r="V9" s="18" t="s">
        <v>296</v>
      </c>
      <c r="W9" s="18">
        <v>-0.11985428352306511</v>
      </c>
      <c r="X9" s="18" t="s">
        <v>296</v>
      </c>
      <c r="Y9" s="18">
        <v>0.10978027104089233</v>
      </c>
    </row>
    <row r="10" spans="1:25" x14ac:dyDescent="0.35">
      <c r="A10" t="s">
        <v>17</v>
      </c>
      <c r="B10" t="s">
        <v>287</v>
      </c>
      <c r="C10">
        <v>1008</v>
      </c>
      <c r="D10" t="s">
        <v>160</v>
      </c>
      <c r="E10" t="s">
        <v>169</v>
      </c>
      <c r="F10" t="s">
        <v>172</v>
      </c>
      <c r="G10" s="13">
        <v>97881</v>
      </c>
      <c r="H10" s="16">
        <v>42064</v>
      </c>
      <c r="J10" t="s">
        <v>181</v>
      </c>
      <c r="K10" t="s">
        <v>189</v>
      </c>
      <c r="L10" s="15">
        <f>IF(Table1_2[[#This Row],[Salary]]="N/A",AVERAGEIF(Table1_2[Department],Table1_2[[#This Row],[Department]],Table1_2[Salary]),Table1_2[[#This Row],[Salary]])</f>
        <v>97881</v>
      </c>
      <c r="M10" s="16">
        <f>IF(Table1_2[[#This Row],[Date of Joining]]="",AVERAGEIF(Table1_2[Department],Table1_2[[#This Row],[Department]],Table1_2[Date of Joining]),Table1_2[[#This Row],[Date of Joining]])</f>
        <v>42064</v>
      </c>
      <c r="N10">
        <f>IF(Table1_2[[#This Row],[Performance Rating]]="",AVERAGEIF(Table1_2[Department],Table1_2[[#This Row],[Department]],Table1_2[Performance Rating]),Table1_2[[#This Row],[Performance Rating]])</f>
        <v>2.9444444444444446</v>
      </c>
      <c r="O10">
        <f>ROUND(Table1_2[[#This Row],[Performance Rating2]],0)</f>
        <v>3</v>
      </c>
      <c r="P10" t="s">
        <v>181</v>
      </c>
      <c r="S10">
        <f>ROUND(VALUE(Table1_2[[#This Row],[Salary2]]),0)</f>
        <v>97881</v>
      </c>
      <c r="T10">
        <f>VALUE(Table1_2[[#This Row],[Performance Rating22]])</f>
        <v>3</v>
      </c>
      <c r="V10" s="18" t="s">
        <v>297</v>
      </c>
      <c r="W10" s="18">
        <v>69341</v>
      </c>
      <c r="X10" s="18" t="s">
        <v>297</v>
      </c>
      <c r="Y10" s="18">
        <v>4</v>
      </c>
    </row>
    <row r="11" spans="1:25" x14ac:dyDescent="0.35">
      <c r="A11" t="s">
        <v>18</v>
      </c>
      <c r="B11" t="s">
        <v>287</v>
      </c>
      <c r="C11">
        <v>1009</v>
      </c>
      <c r="D11" t="s">
        <v>164</v>
      </c>
      <c r="E11" t="s">
        <v>167</v>
      </c>
      <c r="F11" t="s">
        <v>175</v>
      </c>
      <c r="G11" s="13">
        <v>91846</v>
      </c>
      <c r="H11" s="16">
        <v>42071</v>
      </c>
      <c r="J11" t="s">
        <v>180</v>
      </c>
      <c r="K11" t="s">
        <v>190</v>
      </c>
      <c r="L11" s="15">
        <f>IF(Table1_2[[#This Row],[Salary]]="N/A",AVERAGEIF(Table1_2[Department],Table1_2[[#This Row],[Department]],Table1_2[Salary]),Table1_2[[#This Row],[Salary]])</f>
        <v>91846</v>
      </c>
      <c r="M11" s="16">
        <f>IF(Table1_2[[#This Row],[Date of Joining]]="",AVERAGEIF(Table1_2[Department],Table1_2[[#This Row],[Department]],Table1_2[Date of Joining]),Table1_2[[#This Row],[Date of Joining]])</f>
        <v>42071</v>
      </c>
      <c r="N11">
        <f>IF(Table1_2[[#This Row],[Performance Rating]]="",AVERAGEIF(Table1_2[Department],Table1_2[[#This Row],[Department]],Table1_2[Performance Rating]),Table1_2[[#This Row],[Performance Rating]])</f>
        <v>2.7</v>
      </c>
      <c r="O11">
        <f>ROUND(Table1_2[[#This Row],[Performance Rating2]],0)</f>
        <v>3</v>
      </c>
      <c r="P11" t="s">
        <v>180</v>
      </c>
      <c r="S11">
        <f>ROUND(VALUE(Table1_2[[#This Row],[Salary2]]),0)</f>
        <v>91846</v>
      </c>
      <c r="T11">
        <f>VALUE(Table1_2[[#This Row],[Performance Rating22]])</f>
        <v>3</v>
      </c>
      <c r="V11" s="18" t="s">
        <v>298</v>
      </c>
      <c r="W11" s="18">
        <v>30280</v>
      </c>
      <c r="X11" s="18" t="s">
        <v>298</v>
      </c>
      <c r="Y11" s="18">
        <v>1</v>
      </c>
    </row>
    <row r="12" spans="1:25" x14ac:dyDescent="0.35">
      <c r="A12" t="s">
        <v>19</v>
      </c>
      <c r="B12" t="s">
        <v>287</v>
      </c>
      <c r="C12">
        <v>1010</v>
      </c>
      <c r="D12" t="s">
        <v>163</v>
      </c>
      <c r="E12" t="s">
        <v>166</v>
      </c>
      <c r="F12" t="s">
        <v>175</v>
      </c>
      <c r="G12" s="13">
        <v>64247</v>
      </c>
      <c r="H12" s="16">
        <v>42078</v>
      </c>
      <c r="I12">
        <v>1</v>
      </c>
      <c r="J12" t="s">
        <v>181</v>
      </c>
      <c r="K12" t="s">
        <v>191</v>
      </c>
      <c r="L12" s="15">
        <f>IF(Table1_2[[#This Row],[Salary]]="N/A",AVERAGEIF(Table1_2[Department],Table1_2[[#This Row],[Department]],Table1_2[Salary]),Table1_2[[#This Row],[Salary]])</f>
        <v>64247</v>
      </c>
      <c r="M12" s="16">
        <f>IF(Table1_2[[#This Row],[Date of Joining]]="",AVERAGEIF(Table1_2[Department],Table1_2[[#This Row],[Department]],Table1_2[Date of Joining]),Table1_2[[#This Row],[Date of Joining]])</f>
        <v>42078</v>
      </c>
      <c r="N12">
        <f>IF(Table1_2[[#This Row],[Performance Rating]]="",AVERAGEIF(Table1_2[Department],Table1_2[[#This Row],[Department]],Table1_2[Performance Rating]),Table1_2[[#This Row],[Performance Rating]])</f>
        <v>1</v>
      </c>
      <c r="O12">
        <f>ROUND(Table1_2[[#This Row],[Performance Rating2]],0)</f>
        <v>1</v>
      </c>
      <c r="P12" t="s">
        <v>181</v>
      </c>
      <c r="S12">
        <f>ROUND(VALUE(Table1_2[[#This Row],[Salary2]]),0)</f>
        <v>64247</v>
      </c>
      <c r="T12">
        <f>VALUE(Table1_2[[#This Row],[Performance Rating22]])</f>
        <v>1</v>
      </c>
      <c r="V12" s="18" t="s">
        <v>299</v>
      </c>
      <c r="W12" s="18">
        <v>99621</v>
      </c>
      <c r="X12" s="18" t="s">
        <v>299</v>
      </c>
      <c r="Y12" s="18">
        <v>5</v>
      </c>
    </row>
    <row r="13" spans="1:25" x14ac:dyDescent="0.35">
      <c r="A13" t="s">
        <v>20</v>
      </c>
      <c r="B13" t="s">
        <v>287</v>
      </c>
      <c r="C13">
        <v>1011</v>
      </c>
      <c r="D13" t="s">
        <v>163</v>
      </c>
      <c r="E13" t="s">
        <v>169</v>
      </c>
      <c r="F13" t="s">
        <v>173</v>
      </c>
      <c r="G13" s="13">
        <v>91180</v>
      </c>
      <c r="H13" s="16">
        <v>42085</v>
      </c>
      <c r="I13">
        <v>5</v>
      </c>
      <c r="J13" t="s">
        <v>180</v>
      </c>
      <c r="K13" t="s">
        <v>192</v>
      </c>
      <c r="L13" s="15">
        <f>IF(Table1_2[[#This Row],[Salary]]="N/A",AVERAGEIF(Table1_2[Department],Table1_2[[#This Row],[Department]],Table1_2[Salary]),Table1_2[[#This Row],[Salary]])</f>
        <v>91180</v>
      </c>
      <c r="M13" s="16">
        <f>IF(Table1_2[[#This Row],[Date of Joining]]="",AVERAGEIF(Table1_2[Department],Table1_2[[#This Row],[Department]],Table1_2[Date of Joining]),Table1_2[[#This Row],[Date of Joining]])</f>
        <v>42085</v>
      </c>
      <c r="N13">
        <f>IF(Table1_2[[#This Row],[Performance Rating]]="",AVERAGEIF(Table1_2[Department],Table1_2[[#This Row],[Department]],Table1_2[Performance Rating]),Table1_2[[#This Row],[Performance Rating]])</f>
        <v>5</v>
      </c>
      <c r="O13">
        <f>ROUND(Table1_2[[#This Row],[Performance Rating2]],0)</f>
        <v>5</v>
      </c>
      <c r="P13" t="s">
        <v>180</v>
      </c>
      <c r="S13">
        <f>ROUND(VALUE(Table1_2[[#This Row],[Salary2]]),0)</f>
        <v>91180</v>
      </c>
      <c r="T13">
        <f>VALUE(Table1_2[[#This Row],[Performance Rating22]])</f>
        <v>5</v>
      </c>
      <c r="V13" s="18" t="s">
        <v>300</v>
      </c>
      <c r="W13" s="18">
        <v>9940240</v>
      </c>
      <c r="X13" s="18" t="s">
        <v>300</v>
      </c>
      <c r="Y13" s="18">
        <v>434</v>
      </c>
    </row>
    <row r="14" spans="1:25" x14ac:dyDescent="0.35">
      <c r="A14" t="s">
        <v>21</v>
      </c>
      <c r="B14" t="s">
        <v>287</v>
      </c>
      <c r="C14">
        <v>1012</v>
      </c>
      <c r="D14" t="s">
        <v>165</v>
      </c>
      <c r="E14" t="s">
        <v>168</v>
      </c>
      <c r="F14" t="s">
        <v>174</v>
      </c>
      <c r="G14" s="13">
        <v>96418</v>
      </c>
      <c r="H14" s="16">
        <v>42092</v>
      </c>
      <c r="I14">
        <v>5</v>
      </c>
      <c r="J14" t="s">
        <v>180</v>
      </c>
      <c r="K14" t="s">
        <v>183</v>
      </c>
      <c r="L14" s="15">
        <f>IF(Table1_2[[#This Row],[Salary]]="N/A",AVERAGEIF(Table1_2[Department],Table1_2[[#This Row],[Department]],Table1_2[Salary]),Table1_2[[#This Row],[Salary]])</f>
        <v>96418</v>
      </c>
      <c r="M14" s="16">
        <f>IF(Table1_2[[#This Row],[Date of Joining]]="",AVERAGEIF(Table1_2[Department],Table1_2[[#This Row],[Department]],Table1_2[Date of Joining]),Table1_2[[#This Row],[Date of Joining]])</f>
        <v>42092</v>
      </c>
      <c r="N14">
        <f>IF(Table1_2[[#This Row],[Performance Rating]]="",AVERAGEIF(Table1_2[Department],Table1_2[[#This Row],[Department]],Table1_2[Performance Rating]),Table1_2[[#This Row],[Performance Rating]])</f>
        <v>5</v>
      </c>
      <c r="O14">
        <f>ROUND(Table1_2[[#This Row],[Performance Rating2]],0)</f>
        <v>5</v>
      </c>
      <c r="P14" t="s">
        <v>180</v>
      </c>
      <c r="S14">
        <f>ROUND(VALUE(Table1_2[[#This Row],[Salary2]]),0)</f>
        <v>96418</v>
      </c>
      <c r="T14">
        <f>VALUE(Table1_2[[#This Row],[Performance Rating22]])</f>
        <v>5</v>
      </c>
      <c r="V14" s="18" t="s">
        <v>301</v>
      </c>
      <c r="W14" s="18">
        <v>150</v>
      </c>
      <c r="X14" s="18" t="s">
        <v>301</v>
      </c>
      <c r="Y14" s="18">
        <v>150</v>
      </c>
    </row>
    <row r="15" spans="1:25" x14ac:dyDescent="0.35">
      <c r="A15" t="s">
        <v>22</v>
      </c>
      <c r="B15" t="s">
        <v>287</v>
      </c>
      <c r="C15">
        <v>1013</v>
      </c>
      <c r="D15" t="s">
        <v>163</v>
      </c>
      <c r="E15" t="s">
        <v>170</v>
      </c>
      <c r="F15" t="s">
        <v>174</v>
      </c>
      <c r="G15" s="13">
        <v>62158</v>
      </c>
      <c r="H15" s="16">
        <v>42099</v>
      </c>
      <c r="I15">
        <v>4</v>
      </c>
      <c r="K15" t="s">
        <v>193</v>
      </c>
      <c r="L15" s="15">
        <f>IF(Table1_2[[#This Row],[Salary]]="N/A",AVERAGEIF(Table1_2[Department],Table1_2[[#This Row],[Department]],Table1_2[Salary]),Table1_2[[#This Row],[Salary]])</f>
        <v>62158</v>
      </c>
      <c r="M15" s="16">
        <f>IF(Table1_2[[#This Row],[Date of Joining]]="",AVERAGEIF(Table1_2[Department],Table1_2[[#This Row],[Department]],Table1_2[Date of Joining]),Table1_2[[#This Row],[Date of Joining]])</f>
        <v>42099</v>
      </c>
      <c r="N15">
        <f>IF(Table1_2[[#This Row],[Performance Rating]]="",AVERAGEIF(Table1_2[Department],Table1_2[[#This Row],[Department]],Table1_2[Performance Rating]),Table1_2[[#This Row],[Performance Rating]])</f>
        <v>4</v>
      </c>
      <c r="O15">
        <f>ROUND(Table1_2[[#This Row],[Performance Rating2]],0)</f>
        <v>4</v>
      </c>
      <c r="P15" t="s">
        <v>180</v>
      </c>
      <c r="S15">
        <f>ROUND(VALUE(Table1_2[[#This Row],[Salary2]]),0)</f>
        <v>62158</v>
      </c>
      <c r="T15">
        <f>VALUE(Table1_2[[#This Row],[Performance Rating22]])</f>
        <v>4</v>
      </c>
    </row>
    <row r="16" spans="1:25" x14ac:dyDescent="0.35">
      <c r="A16" t="s">
        <v>23</v>
      </c>
      <c r="B16" t="s">
        <v>287</v>
      </c>
      <c r="C16">
        <v>1014</v>
      </c>
      <c r="D16" t="s">
        <v>162</v>
      </c>
      <c r="E16" t="s">
        <v>167</v>
      </c>
      <c r="F16" t="s">
        <v>174</v>
      </c>
      <c r="G16" s="13">
        <v>59894</v>
      </c>
      <c r="H16" s="16">
        <v>42106</v>
      </c>
      <c r="I16">
        <v>2</v>
      </c>
      <c r="J16" t="s">
        <v>180</v>
      </c>
      <c r="K16" t="s">
        <v>194</v>
      </c>
      <c r="L16" s="15">
        <f>IF(Table1_2[[#This Row],[Salary]]="N/A",AVERAGEIF(Table1_2[Department],Table1_2[[#This Row],[Department]],Table1_2[Salary]),Table1_2[[#This Row],[Salary]])</f>
        <v>59894</v>
      </c>
      <c r="M16" s="16">
        <f>IF(Table1_2[[#This Row],[Date of Joining]]="",AVERAGEIF(Table1_2[Department],Table1_2[[#This Row],[Department]],Table1_2[Date of Joining]),Table1_2[[#This Row],[Date of Joining]])</f>
        <v>42106</v>
      </c>
      <c r="N16">
        <f>IF(Table1_2[[#This Row],[Performance Rating]]="",AVERAGEIF(Table1_2[Department],Table1_2[[#This Row],[Department]],Table1_2[Performance Rating]),Table1_2[[#This Row],[Performance Rating]])</f>
        <v>2</v>
      </c>
      <c r="O16">
        <f>ROUND(Table1_2[[#This Row],[Performance Rating2]],0)</f>
        <v>2</v>
      </c>
      <c r="P16" t="s">
        <v>180</v>
      </c>
      <c r="S16">
        <f>ROUND(VALUE(Table1_2[[#This Row],[Salary2]]),0)</f>
        <v>59894</v>
      </c>
      <c r="T16">
        <f>VALUE(Table1_2[[#This Row],[Performance Rating22]])</f>
        <v>2</v>
      </c>
    </row>
    <row r="17" spans="1:20" x14ac:dyDescent="0.35">
      <c r="A17" t="s">
        <v>24</v>
      </c>
      <c r="B17" t="s">
        <v>287</v>
      </c>
      <c r="C17">
        <v>1015</v>
      </c>
      <c r="D17" t="s">
        <v>178</v>
      </c>
      <c r="E17" t="s">
        <v>169</v>
      </c>
      <c r="F17" t="s">
        <v>174</v>
      </c>
      <c r="G17" s="13">
        <v>92443</v>
      </c>
      <c r="H17" s="16">
        <v>42113</v>
      </c>
      <c r="I17">
        <v>3</v>
      </c>
      <c r="J17" t="s">
        <v>179</v>
      </c>
      <c r="K17" t="s">
        <v>195</v>
      </c>
      <c r="L17" s="15">
        <f>IF(Table1_2[[#This Row],[Salary]]="N/A",AVERAGEIF(Table1_2[Department],Table1_2[[#This Row],[Department]],Table1_2[Salary]),Table1_2[[#This Row],[Salary]])</f>
        <v>92443</v>
      </c>
      <c r="M17" s="16">
        <f>IF(Table1_2[[#This Row],[Date of Joining]]="",AVERAGEIF(Table1_2[Department],Table1_2[[#This Row],[Department]],Table1_2[Date of Joining]),Table1_2[[#This Row],[Date of Joining]])</f>
        <v>42113</v>
      </c>
      <c r="N17">
        <f>IF(Table1_2[[#This Row],[Performance Rating]]="",AVERAGEIF(Table1_2[Department],Table1_2[[#This Row],[Department]],Table1_2[Performance Rating]),Table1_2[[#This Row],[Performance Rating]])</f>
        <v>3</v>
      </c>
      <c r="O17">
        <f>ROUND(Table1_2[[#This Row],[Performance Rating2]],0)</f>
        <v>3</v>
      </c>
      <c r="P17" t="s">
        <v>179</v>
      </c>
      <c r="S17">
        <f>ROUND(VALUE(Table1_2[[#This Row],[Salary2]]),0)</f>
        <v>92443</v>
      </c>
      <c r="T17">
        <f>VALUE(Table1_2[[#This Row],[Performance Rating22]])</f>
        <v>3</v>
      </c>
    </row>
    <row r="18" spans="1:20" x14ac:dyDescent="0.35">
      <c r="A18" t="s">
        <v>25</v>
      </c>
      <c r="B18" t="s">
        <v>287</v>
      </c>
      <c r="C18">
        <v>1016</v>
      </c>
      <c r="D18" t="s">
        <v>165</v>
      </c>
      <c r="E18" t="s">
        <v>170</v>
      </c>
      <c r="F18" t="s">
        <v>172</v>
      </c>
      <c r="G18" s="13">
        <v>90271</v>
      </c>
      <c r="H18" s="16">
        <v>42120</v>
      </c>
      <c r="K18" t="s">
        <v>196</v>
      </c>
      <c r="L18" s="15">
        <f>IF(Table1_2[[#This Row],[Salary]]="N/A",AVERAGEIF(Table1_2[Department],Table1_2[[#This Row],[Department]],Table1_2[Salary]),Table1_2[[#This Row],[Salary]])</f>
        <v>90271</v>
      </c>
      <c r="M18" s="16">
        <f>IF(Table1_2[[#This Row],[Date of Joining]]="",AVERAGEIF(Table1_2[Department],Table1_2[[#This Row],[Department]],Table1_2[Date of Joining]),Table1_2[[#This Row],[Date of Joining]])</f>
        <v>42120</v>
      </c>
      <c r="N18">
        <f>IF(Table1_2[[#This Row],[Performance Rating]]="",AVERAGEIF(Table1_2[Department],Table1_2[[#This Row],[Department]],Table1_2[Performance Rating]),Table1_2[[#This Row],[Performance Rating]])</f>
        <v>3.1086956521739131</v>
      </c>
      <c r="O18">
        <f>ROUND(Table1_2[[#This Row],[Performance Rating2]],0)</f>
        <v>3</v>
      </c>
      <c r="P18" t="s">
        <v>180</v>
      </c>
      <c r="S18">
        <f>ROUND(VALUE(Table1_2[[#This Row],[Salary2]]),0)</f>
        <v>90271</v>
      </c>
      <c r="T18">
        <f>VALUE(Table1_2[[#This Row],[Performance Rating22]])</f>
        <v>3</v>
      </c>
    </row>
    <row r="19" spans="1:20" x14ac:dyDescent="0.35">
      <c r="A19" t="s">
        <v>26</v>
      </c>
      <c r="B19" t="s">
        <v>287</v>
      </c>
      <c r="C19">
        <v>1017</v>
      </c>
      <c r="D19" t="s">
        <v>162</v>
      </c>
      <c r="E19" t="s">
        <v>166</v>
      </c>
      <c r="F19" t="s">
        <v>176</v>
      </c>
      <c r="G19" s="13">
        <v>41341</v>
      </c>
      <c r="H19" s="16">
        <v>42127</v>
      </c>
      <c r="I19">
        <v>1</v>
      </c>
      <c r="J19" t="s">
        <v>179</v>
      </c>
      <c r="K19" t="s">
        <v>197</v>
      </c>
      <c r="L19" s="15">
        <f>IF(Table1_2[[#This Row],[Salary]]="N/A",AVERAGEIF(Table1_2[Department],Table1_2[[#This Row],[Department]],Table1_2[Salary]),Table1_2[[#This Row],[Salary]])</f>
        <v>41341</v>
      </c>
      <c r="M19" s="16">
        <f>IF(Table1_2[[#This Row],[Date of Joining]]="",AVERAGEIF(Table1_2[Department],Table1_2[[#This Row],[Department]],Table1_2[Date of Joining]),Table1_2[[#This Row],[Date of Joining]])</f>
        <v>42127</v>
      </c>
      <c r="N19">
        <f>IF(Table1_2[[#This Row],[Performance Rating]]="",AVERAGEIF(Table1_2[Department],Table1_2[[#This Row],[Department]],Table1_2[Performance Rating]),Table1_2[[#This Row],[Performance Rating]])</f>
        <v>1</v>
      </c>
      <c r="O19">
        <f>ROUND(Table1_2[[#This Row],[Performance Rating2]],0)</f>
        <v>1</v>
      </c>
      <c r="P19" t="s">
        <v>179</v>
      </c>
      <c r="S19">
        <f>ROUND(VALUE(Table1_2[[#This Row],[Salary2]]),0)</f>
        <v>41341</v>
      </c>
      <c r="T19">
        <f>VALUE(Table1_2[[#This Row],[Performance Rating22]])</f>
        <v>1</v>
      </c>
    </row>
    <row r="20" spans="1:20" x14ac:dyDescent="0.35">
      <c r="A20" t="s">
        <v>27</v>
      </c>
      <c r="B20" t="s">
        <v>287</v>
      </c>
      <c r="C20">
        <v>1018</v>
      </c>
      <c r="D20" t="s">
        <v>160</v>
      </c>
      <c r="E20" t="s">
        <v>166</v>
      </c>
      <c r="F20" t="s">
        <v>175</v>
      </c>
      <c r="G20" s="13">
        <v>73602</v>
      </c>
      <c r="H20" s="16">
        <v>42134</v>
      </c>
      <c r="K20" t="s">
        <v>198</v>
      </c>
      <c r="L20" s="15">
        <f>IF(Table1_2[[#This Row],[Salary]]="N/A",AVERAGEIF(Table1_2[Department],Table1_2[[#This Row],[Department]],Table1_2[Salary]),Table1_2[[#This Row],[Salary]])</f>
        <v>73602</v>
      </c>
      <c r="M20" s="16">
        <f>IF(Table1_2[[#This Row],[Date of Joining]]="",AVERAGEIF(Table1_2[Department],Table1_2[[#This Row],[Department]],Table1_2[Date of Joining]),Table1_2[[#This Row],[Date of Joining]])</f>
        <v>42134</v>
      </c>
      <c r="N20">
        <f>IF(Table1_2[[#This Row],[Performance Rating]]="",AVERAGEIF(Table1_2[Department],Table1_2[[#This Row],[Department]],Table1_2[Performance Rating]),Table1_2[[#This Row],[Performance Rating]])</f>
        <v>2.5789473684210527</v>
      </c>
      <c r="O20">
        <f>ROUND(Table1_2[[#This Row],[Performance Rating2]],0)</f>
        <v>3</v>
      </c>
      <c r="P20" t="s">
        <v>180</v>
      </c>
      <c r="S20">
        <f>ROUND(VALUE(Table1_2[[#This Row],[Salary2]]),0)</f>
        <v>73602</v>
      </c>
      <c r="T20">
        <f>VALUE(Table1_2[[#This Row],[Performance Rating22]])</f>
        <v>3</v>
      </c>
    </row>
    <row r="21" spans="1:20" x14ac:dyDescent="0.35">
      <c r="A21" t="s">
        <v>28</v>
      </c>
      <c r="B21" t="s">
        <v>287</v>
      </c>
      <c r="C21">
        <v>1019</v>
      </c>
      <c r="D21" t="s">
        <v>159</v>
      </c>
      <c r="E21" t="s">
        <v>170</v>
      </c>
      <c r="F21" t="s">
        <v>174</v>
      </c>
      <c r="G21" s="13">
        <v>67531</v>
      </c>
      <c r="H21" s="16">
        <v>42141</v>
      </c>
      <c r="I21">
        <v>5</v>
      </c>
      <c r="J21" t="s">
        <v>181</v>
      </c>
      <c r="K21" t="s">
        <v>199</v>
      </c>
      <c r="L21" s="15">
        <f>IF(Table1_2[[#This Row],[Salary]]="N/A",AVERAGEIF(Table1_2[Department],Table1_2[[#This Row],[Department]],Table1_2[Salary]),Table1_2[[#This Row],[Salary]])</f>
        <v>67531</v>
      </c>
      <c r="M21" s="16">
        <f>IF(Table1_2[[#This Row],[Date of Joining]]="",AVERAGEIF(Table1_2[Department],Table1_2[[#This Row],[Department]],Table1_2[Date of Joining]),Table1_2[[#This Row],[Date of Joining]])</f>
        <v>42141</v>
      </c>
      <c r="N21">
        <f>IF(Table1_2[[#This Row],[Performance Rating]]="",AVERAGEIF(Table1_2[Department],Table1_2[[#This Row],[Department]],Table1_2[Performance Rating]),Table1_2[[#This Row],[Performance Rating]])</f>
        <v>5</v>
      </c>
      <c r="O21">
        <f>ROUND(Table1_2[[#This Row],[Performance Rating2]],0)</f>
        <v>5</v>
      </c>
      <c r="P21" t="s">
        <v>181</v>
      </c>
      <c r="S21">
        <f>ROUND(VALUE(Table1_2[[#This Row],[Salary2]]),0)</f>
        <v>67531</v>
      </c>
      <c r="T21">
        <f>VALUE(Table1_2[[#This Row],[Performance Rating22]])</f>
        <v>5</v>
      </c>
    </row>
    <row r="22" spans="1:20" x14ac:dyDescent="0.35">
      <c r="A22" t="s">
        <v>29</v>
      </c>
      <c r="B22" t="s">
        <v>287</v>
      </c>
      <c r="C22">
        <v>1020</v>
      </c>
      <c r="D22" t="s">
        <v>162</v>
      </c>
      <c r="E22" t="s">
        <v>167</v>
      </c>
      <c r="F22" t="s">
        <v>173</v>
      </c>
      <c r="G22" s="13" t="s">
        <v>177</v>
      </c>
      <c r="H22" s="16">
        <v>42148</v>
      </c>
      <c r="I22">
        <v>2</v>
      </c>
      <c r="J22" t="s">
        <v>179</v>
      </c>
      <c r="K22" t="s">
        <v>200</v>
      </c>
      <c r="L22" s="15">
        <f>IF(Table1_2[[#This Row],[Salary]]="N/A",AVERAGEIF(Table1_2[Department],Table1_2[[#This Row],[Department]],Table1_2[Salary]),Table1_2[[#This Row],[Salary]])</f>
        <v>67834.565217391311</v>
      </c>
      <c r="M22" s="16">
        <f>IF(Table1_2[[#This Row],[Date of Joining]]="",AVERAGEIF(Table1_2[Department],Table1_2[[#This Row],[Department]],Table1_2[Date of Joining]),Table1_2[[#This Row],[Date of Joining]])</f>
        <v>42148</v>
      </c>
      <c r="N22">
        <f>IF(Table1_2[[#This Row],[Performance Rating]]="",AVERAGEIF(Table1_2[Department],Table1_2[[#This Row],[Department]],Table1_2[Performance Rating]),Table1_2[[#This Row],[Performance Rating]])</f>
        <v>2</v>
      </c>
      <c r="O22">
        <f>ROUND(Table1_2[[#This Row],[Performance Rating2]],0)</f>
        <v>2</v>
      </c>
      <c r="P22" t="s">
        <v>179</v>
      </c>
      <c r="S22">
        <f>ROUND(VALUE(Table1_2[[#This Row],[Salary2]]),0)</f>
        <v>67835</v>
      </c>
      <c r="T22">
        <f>VALUE(Table1_2[[#This Row],[Performance Rating22]])</f>
        <v>2</v>
      </c>
    </row>
    <row r="23" spans="1:20" x14ac:dyDescent="0.35">
      <c r="A23" t="s">
        <v>30</v>
      </c>
      <c r="B23" t="s">
        <v>287</v>
      </c>
      <c r="C23">
        <v>1021</v>
      </c>
      <c r="D23" t="s">
        <v>162</v>
      </c>
      <c r="E23" t="s">
        <v>167</v>
      </c>
      <c r="F23" t="s">
        <v>174</v>
      </c>
      <c r="G23" s="13">
        <v>98922</v>
      </c>
      <c r="H23" s="16">
        <v>42155</v>
      </c>
      <c r="I23">
        <v>4</v>
      </c>
      <c r="K23" t="s">
        <v>201</v>
      </c>
      <c r="L23" s="15">
        <f>IF(Table1_2[[#This Row],[Salary]]="N/A",AVERAGEIF(Table1_2[Department],Table1_2[[#This Row],[Department]],Table1_2[Salary]),Table1_2[[#This Row],[Salary]])</f>
        <v>98922</v>
      </c>
      <c r="M23" s="16">
        <f>IF(Table1_2[[#This Row],[Date of Joining]]="",AVERAGEIF(Table1_2[Department],Table1_2[[#This Row],[Department]],Table1_2[Date of Joining]),Table1_2[[#This Row],[Date of Joining]])</f>
        <v>42155</v>
      </c>
      <c r="N23">
        <f>IF(Table1_2[[#This Row],[Performance Rating]]="",AVERAGEIF(Table1_2[Department],Table1_2[[#This Row],[Department]],Table1_2[Performance Rating]),Table1_2[[#This Row],[Performance Rating]])</f>
        <v>4</v>
      </c>
      <c r="O23">
        <f>ROUND(Table1_2[[#This Row],[Performance Rating2]],0)</f>
        <v>4</v>
      </c>
      <c r="P23" t="s">
        <v>180</v>
      </c>
      <c r="S23">
        <f>ROUND(VALUE(Table1_2[[#This Row],[Salary2]]),0)</f>
        <v>98922</v>
      </c>
      <c r="T23">
        <f>VALUE(Table1_2[[#This Row],[Performance Rating22]])</f>
        <v>4</v>
      </c>
    </row>
    <row r="24" spans="1:20" x14ac:dyDescent="0.35">
      <c r="A24" t="s">
        <v>31</v>
      </c>
      <c r="B24" t="s">
        <v>287</v>
      </c>
      <c r="C24">
        <v>1022</v>
      </c>
      <c r="D24" t="s">
        <v>159</v>
      </c>
      <c r="E24" t="s">
        <v>166</v>
      </c>
      <c r="F24" t="s">
        <v>174</v>
      </c>
      <c r="G24" s="13">
        <v>38333</v>
      </c>
      <c r="H24" s="16">
        <v>42162</v>
      </c>
      <c r="I24">
        <v>5</v>
      </c>
      <c r="K24" t="s">
        <v>202</v>
      </c>
      <c r="L24" s="15">
        <f>IF(Table1_2[[#This Row],[Salary]]="N/A",AVERAGEIF(Table1_2[Department],Table1_2[[#This Row],[Department]],Table1_2[Salary]),Table1_2[[#This Row],[Salary]])</f>
        <v>38333</v>
      </c>
      <c r="M24" s="16">
        <f>IF(Table1_2[[#This Row],[Date of Joining]]="",AVERAGEIF(Table1_2[Department],Table1_2[[#This Row],[Department]],Table1_2[Date of Joining]),Table1_2[[#This Row],[Date of Joining]])</f>
        <v>42162</v>
      </c>
      <c r="N24">
        <f>IF(Table1_2[[#This Row],[Performance Rating]]="",AVERAGEIF(Table1_2[Department],Table1_2[[#This Row],[Department]],Table1_2[Performance Rating]),Table1_2[[#This Row],[Performance Rating]])</f>
        <v>5</v>
      </c>
      <c r="O24">
        <f>ROUND(Table1_2[[#This Row],[Performance Rating2]],0)</f>
        <v>5</v>
      </c>
      <c r="P24" t="s">
        <v>180</v>
      </c>
      <c r="S24">
        <f>ROUND(VALUE(Table1_2[[#This Row],[Salary2]]),0)</f>
        <v>38333</v>
      </c>
      <c r="T24">
        <f>VALUE(Table1_2[[#This Row],[Performance Rating22]])</f>
        <v>5</v>
      </c>
    </row>
    <row r="25" spans="1:20" x14ac:dyDescent="0.35">
      <c r="A25" t="s">
        <v>32</v>
      </c>
      <c r="B25" t="s">
        <v>287</v>
      </c>
      <c r="C25">
        <v>1023</v>
      </c>
      <c r="D25" t="s">
        <v>160</v>
      </c>
      <c r="E25" t="s">
        <v>170</v>
      </c>
      <c r="F25" t="s">
        <v>175</v>
      </c>
      <c r="G25" s="13">
        <v>36515</v>
      </c>
      <c r="H25" s="16">
        <v>42169</v>
      </c>
      <c r="I25">
        <v>3</v>
      </c>
      <c r="J25" t="s">
        <v>180</v>
      </c>
      <c r="K25" t="s">
        <v>203</v>
      </c>
      <c r="L25" s="15">
        <f>IF(Table1_2[[#This Row],[Salary]]="N/A",AVERAGEIF(Table1_2[Department],Table1_2[[#This Row],[Department]],Table1_2[Salary]),Table1_2[[#This Row],[Salary]])</f>
        <v>36515</v>
      </c>
      <c r="M25" s="16">
        <f>IF(Table1_2[[#This Row],[Date of Joining]]="",AVERAGEIF(Table1_2[Department],Table1_2[[#This Row],[Department]],Table1_2[Date of Joining]),Table1_2[[#This Row],[Date of Joining]])</f>
        <v>42169</v>
      </c>
      <c r="N25">
        <f>IF(Table1_2[[#This Row],[Performance Rating]]="",AVERAGEIF(Table1_2[Department],Table1_2[[#This Row],[Department]],Table1_2[Performance Rating]),Table1_2[[#This Row],[Performance Rating]])</f>
        <v>3</v>
      </c>
      <c r="O25">
        <f>ROUND(Table1_2[[#This Row],[Performance Rating2]],0)</f>
        <v>3</v>
      </c>
      <c r="P25" t="s">
        <v>180</v>
      </c>
      <c r="S25">
        <f>ROUND(VALUE(Table1_2[[#This Row],[Salary2]]),0)</f>
        <v>36515</v>
      </c>
      <c r="T25">
        <f>VALUE(Table1_2[[#This Row],[Performance Rating22]])</f>
        <v>3</v>
      </c>
    </row>
    <row r="26" spans="1:20" x14ac:dyDescent="0.35">
      <c r="A26" t="s">
        <v>33</v>
      </c>
      <c r="B26" t="s">
        <v>287</v>
      </c>
      <c r="C26">
        <v>1024</v>
      </c>
      <c r="D26" t="s">
        <v>163</v>
      </c>
      <c r="E26" t="s">
        <v>166</v>
      </c>
      <c r="F26" t="s">
        <v>174</v>
      </c>
      <c r="G26" s="13">
        <v>91005</v>
      </c>
      <c r="H26" s="16">
        <v>42176</v>
      </c>
      <c r="I26">
        <v>1</v>
      </c>
      <c r="J26" t="s">
        <v>179</v>
      </c>
      <c r="K26" t="s">
        <v>204</v>
      </c>
      <c r="L26" s="15">
        <f>IF(Table1_2[[#This Row],[Salary]]="N/A",AVERAGEIF(Table1_2[Department],Table1_2[[#This Row],[Department]],Table1_2[Salary]),Table1_2[[#This Row],[Salary]])</f>
        <v>91005</v>
      </c>
      <c r="M26" s="16">
        <f>IF(Table1_2[[#This Row],[Date of Joining]]="",AVERAGEIF(Table1_2[Department],Table1_2[[#This Row],[Department]],Table1_2[Date of Joining]),Table1_2[[#This Row],[Date of Joining]])</f>
        <v>42176</v>
      </c>
      <c r="N26">
        <f>IF(Table1_2[[#This Row],[Performance Rating]]="",AVERAGEIF(Table1_2[Department],Table1_2[[#This Row],[Department]],Table1_2[Performance Rating]),Table1_2[[#This Row],[Performance Rating]])</f>
        <v>1</v>
      </c>
      <c r="O26">
        <f>ROUND(Table1_2[[#This Row],[Performance Rating2]],0)</f>
        <v>1</v>
      </c>
      <c r="P26" t="s">
        <v>179</v>
      </c>
      <c r="S26">
        <f>ROUND(VALUE(Table1_2[[#This Row],[Salary2]]),0)</f>
        <v>91005</v>
      </c>
      <c r="T26">
        <f>VALUE(Table1_2[[#This Row],[Performance Rating22]])</f>
        <v>1</v>
      </c>
    </row>
    <row r="27" spans="1:20" x14ac:dyDescent="0.35">
      <c r="A27" t="s">
        <v>34</v>
      </c>
      <c r="B27" t="s">
        <v>287</v>
      </c>
      <c r="C27">
        <v>1025</v>
      </c>
      <c r="D27" t="s">
        <v>164</v>
      </c>
      <c r="E27" t="s">
        <v>170</v>
      </c>
      <c r="F27" t="s">
        <v>174</v>
      </c>
      <c r="G27" s="13">
        <v>52272</v>
      </c>
      <c r="H27" s="16">
        <v>42183</v>
      </c>
      <c r="I27">
        <v>3</v>
      </c>
      <c r="K27" t="s">
        <v>205</v>
      </c>
      <c r="L27" s="15">
        <f>IF(Table1_2[[#This Row],[Salary]]="N/A",AVERAGEIF(Table1_2[Department],Table1_2[[#This Row],[Department]],Table1_2[Salary]),Table1_2[[#This Row],[Salary]])</f>
        <v>52272</v>
      </c>
      <c r="M27" s="16">
        <f>IF(Table1_2[[#This Row],[Date of Joining]]="",AVERAGEIF(Table1_2[Department],Table1_2[[#This Row],[Department]],Table1_2[Date of Joining]),Table1_2[[#This Row],[Date of Joining]])</f>
        <v>42183</v>
      </c>
      <c r="N27">
        <f>IF(Table1_2[[#This Row],[Performance Rating]]="",AVERAGEIF(Table1_2[Department],Table1_2[[#This Row],[Department]],Table1_2[Performance Rating]),Table1_2[[#This Row],[Performance Rating]])</f>
        <v>3</v>
      </c>
      <c r="O27">
        <f>ROUND(Table1_2[[#This Row],[Performance Rating2]],0)</f>
        <v>3</v>
      </c>
      <c r="P27" t="s">
        <v>180</v>
      </c>
      <c r="S27">
        <f>ROUND(VALUE(Table1_2[[#This Row],[Salary2]]),0)</f>
        <v>52272</v>
      </c>
      <c r="T27">
        <f>VALUE(Table1_2[[#This Row],[Performance Rating22]])</f>
        <v>3</v>
      </c>
    </row>
    <row r="28" spans="1:20" x14ac:dyDescent="0.35">
      <c r="A28" t="s">
        <v>35</v>
      </c>
      <c r="B28" t="s">
        <v>287</v>
      </c>
      <c r="C28">
        <v>1026</v>
      </c>
      <c r="D28" t="s">
        <v>159</v>
      </c>
      <c r="E28" t="s">
        <v>168</v>
      </c>
      <c r="F28" t="s">
        <v>172</v>
      </c>
      <c r="G28" s="13">
        <v>76518</v>
      </c>
      <c r="H28" s="16">
        <v>42190</v>
      </c>
      <c r="I28">
        <v>2</v>
      </c>
      <c r="J28" t="s">
        <v>181</v>
      </c>
      <c r="K28" t="s">
        <v>206</v>
      </c>
      <c r="L28" s="15">
        <f>IF(Table1_2[[#This Row],[Salary]]="N/A",AVERAGEIF(Table1_2[Department],Table1_2[[#This Row],[Department]],Table1_2[Salary]),Table1_2[[#This Row],[Salary]])</f>
        <v>76518</v>
      </c>
      <c r="M28" s="16">
        <f>IF(Table1_2[[#This Row],[Date of Joining]]="",AVERAGEIF(Table1_2[Department],Table1_2[[#This Row],[Department]],Table1_2[Date of Joining]),Table1_2[[#This Row],[Date of Joining]])</f>
        <v>42190</v>
      </c>
      <c r="N28">
        <f>IF(Table1_2[[#This Row],[Performance Rating]]="",AVERAGEIF(Table1_2[Department],Table1_2[[#This Row],[Department]],Table1_2[Performance Rating]),Table1_2[[#This Row],[Performance Rating]])</f>
        <v>2</v>
      </c>
      <c r="O28">
        <f>ROUND(Table1_2[[#This Row],[Performance Rating2]],0)</f>
        <v>2</v>
      </c>
      <c r="P28" t="s">
        <v>181</v>
      </c>
      <c r="S28">
        <f>ROUND(VALUE(Table1_2[[#This Row],[Salary2]]),0)</f>
        <v>76518</v>
      </c>
      <c r="T28">
        <f>VALUE(Table1_2[[#This Row],[Performance Rating22]])</f>
        <v>2</v>
      </c>
    </row>
    <row r="29" spans="1:20" x14ac:dyDescent="0.35">
      <c r="A29" t="s">
        <v>36</v>
      </c>
      <c r="B29" t="s">
        <v>287</v>
      </c>
      <c r="C29">
        <v>1027</v>
      </c>
      <c r="D29" t="s">
        <v>160</v>
      </c>
      <c r="E29" t="s">
        <v>169</v>
      </c>
      <c r="F29" t="s">
        <v>175</v>
      </c>
      <c r="G29" s="13">
        <v>41448</v>
      </c>
      <c r="H29" s="16">
        <v>42197</v>
      </c>
      <c r="I29">
        <v>3</v>
      </c>
      <c r="J29" t="s">
        <v>179</v>
      </c>
      <c r="K29" t="s">
        <v>207</v>
      </c>
      <c r="L29" s="15">
        <f>IF(Table1_2[[#This Row],[Salary]]="N/A",AVERAGEIF(Table1_2[Department],Table1_2[[#This Row],[Department]],Table1_2[Salary]),Table1_2[[#This Row],[Salary]])</f>
        <v>41448</v>
      </c>
      <c r="M29" s="16">
        <f>IF(Table1_2[[#This Row],[Date of Joining]]="",AVERAGEIF(Table1_2[Department],Table1_2[[#This Row],[Department]],Table1_2[Date of Joining]),Table1_2[[#This Row],[Date of Joining]])</f>
        <v>42197</v>
      </c>
      <c r="N29">
        <f>IF(Table1_2[[#This Row],[Performance Rating]]="",AVERAGEIF(Table1_2[Department],Table1_2[[#This Row],[Department]],Table1_2[Performance Rating]),Table1_2[[#This Row],[Performance Rating]])</f>
        <v>3</v>
      </c>
      <c r="O29">
        <f>ROUND(Table1_2[[#This Row],[Performance Rating2]],0)</f>
        <v>3</v>
      </c>
      <c r="P29" t="s">
        <v>179</v>
      </c>
      <c r="S29">
        <f>ROUND(VALUE(Table1_2[[#This Row],[Salary2]]),0)</f>
        <v>41448</v>
      </c>
      <c r="T29">
        <f>VALUE(Table1_2[[#This Row],[Performance Rating22]])</f>
        <v>3</v>
      </c>
    </row>
    <row r="30" spans="1:20" x14ac:dyDescent="0.35">
      <c r="A30" t="s">
        <v>37</v>
      </c>
      <c r="B30" t="s">
        <v>287</v>
      </c>
      <c r="C30">
        <v>1028</v>
      </c>
      <c r="D30" t="s">
        <v>161</v>
      </c>
      <c r="E30" t="s">
        <v>167</v>
      </c>
      <c r="F30" t="s">
        <v>175</v>
      </c>
      <c r="G30" s="13">
        <v>49282</v>
      </c>
      <c r="H30" s="16">
        <v>42204</v>
      </c>
      <c r="I30">
        <v>2</v>
      </c>
      <c r="J30" t="s">
        <v>181</v>
      </c>
      <c r="K30" t="s">
        <v>208</v>
      </c>
      <c r="L30" s="15">
        <f>IF(Table1_2[[#This Row],[Salary]]="N/A",AVERAGEIF(Table1_2[Department],Table1_2[[#This Row],[Department]],Table1_2[Salary]),Table1_2[[#This Row],[Salary]])</f>
        <v>49282</v>
      </c>
      <c r="M30" s="16">
        <f>IF(Table1_2[[#This Row],[Date of Joining]]="",AVERAGEIF(Table1_2[Department],Table1_2[[#This Row],[Department]],Table1_2[Date of Joining]),Table1_2[[#This Row],[Date of Joining]])</f>
        <v>42204</v>
      </c>
      <c r="N30">
        <f>IF(Table1_2[[#This Row],[Performance Rating]]="",AVERAGEIF(Table1_2[Department],Table1_2[[#This Row],[Department]],Table1_2[Performance Rating]),Table1_2[[#This Row],[Performance Rating]])</f>
        <v>2</v>
      </c>
      <c r="O30">
        <f>ROUND(Table1_2[[#This Row],[Performance Rating2]],0)</f>
        <v>2</v>
      </c>
      <c r="P30" t="s">
        <v>181</v>
      </c>
      <c r="S30">
        <f>ROUND(VALUE(Table1_2[[#This Row],[Salary2]]),0)</f>
        <v>49282</v>
      </c>
      <c r="T30">
        <f>VALUE(Table1_2[[#This Row],[Performance Rating22]])</f>
        <v>2</v>
      </c>
    </row>
    <row r="31" spans="1:20" x14ac:dyDescent="0.35">
      <c r="A31" t="s">
        <v>38</v>
      </c>
      <c r="B31" t="s">
        <v>287</v>
      </c>
      <c r="C31">
        <v>1029</v>
      </c>
      <c r="D31" t="s">
        <v>165</v>
      </c>
      <c r="E31" t="s">
        <v>170</v>
      </c>
      <c r="F31" t="s">
        <v>175</v>
      </c>
      <c r="G31" s="13">
        <v>92959</v>
      </c>
      <c r="H31" s="16">
        <v>42211</v>
      </c>
      <c r="I31">
        <v>5</v>
      </c>
      <c r="K31" t="s">
        <v>209</v>
      </c>
      <c r="L31" s="15">
        <f>IF(Table1_2[[#This Row],[Salary]]="N/A",AVERAGEIF(Table1_2[Department],Table1_2[[#This Row],[Department]],Table1_2[Salary]),Table1_2[[#This Row],[Salary]])</f>
        <v>92959</v>
      </c>
      <c r="M31" s="16">
        <f>IF(Table1_2[[#This Row],[Date of Joining]]="",AVERAGEIF(Table1_2[Department],Table1_2[[#This Row],[Department]],Table1_2[Date of Joining]),Table1_2[[#This Row],[Date of Joining]])</f>
        <v>42211</v>
      </c>
      <c r="N31">
        <f>IF(Table1_2[[#This Row],[Performance Rating]]="",AVERAGEIF(Table1_2[Department],Table1_2[[#This Row],[Department]],Table1_2[Performance Rating]),Table1_2[[#This Row],[Performance Rating]])</f>
        <v>5</v>
      </c>
      <c r="O31">
        <f>ROUND(Table1_2[[#This Row],[Performance Rating2]],0)</f>
        <v>5</v>
      </c>
      <c r="P31" t="s">
        <v>180</v>
      </c>
      <c r="S31">
        <f>ROUND(VALUE(Table1_2[[#This Row],[Salary2]]),0)</f>
        <v>92959</v>
      </c>
      <c r="T31">
        <f>VALUE(Table1_2[[#This Row],[Performance Rating22]])</f>
        <v>5</v>
      </c>
    </row>
    <row r="32" spans="1:20" x14ac:dyDescent="0.35">
      <c r="A32" t="s">
        <v>39</v>
      </c>
      <c r="B32" t="s">
        <v>287</v>
      </c>
      <c r="C32">
        <v>1030</v>
      </c>
      <c r="D32" t="s">
        <v>178</v>
      </c>
      <c r="E32" t="s">
        <v>170</v>
      </c>
      <c r="F32" t="s">
        <v>174</v>
      </c>
      <c r="G32" s="13">
        <v>92259</v>
      </c>
      <c r="H32" s="16"/>
      <c r="I32">
        <v>1</v>
      </c>
      <c r="J32" t="s">
        <v>178</v>
      </c>
      <c r="K32" t="s">
        <v>210</v>
      </c>
      <c r="L32" s="15">
        <f>IF(Table1_2[[#This Row],[Salary]]="N/A",AVERAGEIF(Table1_2[Department],Table1_2[[#This Row],[Department]],Table1_2[Salary]),Table1_2[[#This Row],[Salary]])</f>
        <v>92259</v>
      </c>
      <c r="M32" s="16">
        <f>IF(Table1_2[[#This Row],[Date of Joining]]="",AVERAGEIF(Table1_2[Department],Table1_2[[#This Row],[Department]],Table1_2[Date of Joining]),Table1_2[[#This Row],[Date of Joining]])</f>
        <v>42590</v>
      </c>
      <c r="N32">
        <f>IF(Table1_2[[#This Row],[Performance Rating]]="",AVERAGEIF(Table1_2[Department],Table1_2[[#This Row],[Department]],Table1_2[Performance Rating]),Table1_2[[#This Row],[Performance Rating]])</f>
        <v>1</v>
      </c>
      <c r="O32">
        <f>ROUND(Table1_2[[#This Row],[Performance Rating2]],0)</f>
        <v>1</v>
      </c>
      <c r="P32" t="s">
        <v>178</v>
      </c>
      <c r="S32">
        <f>ROUND(VALUE(Table1_2[[#This Row],[Salary2]]),0)</f>
        <v>92259</v>
      </c>
      <c r="T32">
        <f>VALUE(Table1_2[[#This Row],[Performance Rating22]])</f>
        <v>1</v>
      </c>
    </row>
    <row r="33" spans="1:20" x14ac:dyDescent="0.35">
      <c r="A33" t="s">
        <v>40</v>
      </c>
      <c r="B33" t="s">
        <v>287</v>
      </c>
      <c r="C33">
        <v>1031</v>
      </c>
      <c r="D33" t="s">
        <v>159</v>
      </c>
      <c r="E33" t="s">
        <v>167</v>
      </c>
      <c r="F33" t="s">
        <v>172</v>
      </c>
      <c r="G33" s="13">
        <v>92299</v>
      </c>
      <c r="H33" s="16">
        <v>42225</v>
      </c>
      <c r="I33">
        <v>3</v>
      </c>
      <c r="J33" t="s">
        <v>180</v>
      </c>
      <c r="K33" t="s">
        <v>211</v>
      </c>
      <c r="L33" s="15">
        <f>IF(Table1_2[[#This Row],[Salary]]="N/A",AVERAGEIF(Table1_2[Department],Table1_2[[#This Row],[Department]],Table1_2[Salary]),Table1_2[[#This Row],[Salary]])</f>
        <v>92299</v>
      </c>
      <c r="M33" s="16">
        <f>IF(Table1_2[[#This Row],[Date of Joining]]="",AVERAGEIF(Table1_2[Department],Table1_2[[#This Row],[Department]],Table1_2[Date of Joining]),Table1_2[[#This Row],[Date of Joining]])</f>
        <v>42225</v>
      </c>
      <c r="N33">
        <f>IF(Table1_2[[#This Row],[Performance Rating]]="",AVERAGEIF(Table1_2[Department],Table1_2[[#This Row],[Department]],Table1_2[Performance Rating]),Table1_2[[#This Row],[Performance Rating]])</f>
        <v>3</v>
      </c>
      <c r="O33">
        <f>ROUND(Table1_2[[#This Row],[Performance Rating2]],0)</f>
        <v>3</v>
      </c>
      <c r="P33" t="s">
        <v>180</v>
      </c>
      <c r="S33">
        <f>ROUND(VALUE(Table1_2[[#This Row],[Salary2]]),0)</f>
        <v>92299</v>
      </c>
      <c r="T33">
        <f>VALUE(Table1_2[[#This Row],[Performance Rating22]])</f>
        <v>3</v>
      </c>
    </row>
    <row r="34" spans="1:20" x14ac:dyDescent="0.35">
      <c r="A34" t="s">
        <v>41</v>
      </c>
      <c r="B34" t="s">
        <v>287</v>
      </c>
      <c r="C34">
        <v>1032</v>
      </c>
      <c r="D34" t="s">
        <v>163</v>
      </c>
      <c r="E34" t="s">
        <v>167</v>
      </c>
      <c r="F34" t="s">
        <v>174</v>
      </c>
      <c r="G34" s="13">
        <v>95586</v>
      </c>
      <c r="H34" s="16">
        <v>42232</v>
      </c>
      <c r="I34">
        <v>3</v>
      </c>
      <c r="J34" t="s">
        <v>179</v>
      </c>
      <c r="K34" t="s">
        <v>212</v>
      </c>
      <c r="L34" s="15">
        <f>IF(Table1_2[[#This Row],[Salary]]="N/A",AVERAGEIF(Table1_2[Department],Table1_2[[#This Row],[Department]],Table1_2[Salary]),Table1_2[[#This Row],[Salary]])</f>
        <v>95586</v>
      </c>
      <c r="M34" s="16">
        <f>IF(Table1_2[[#This Row],[Date of Joining]]="",AVERAGEIF(Table1_2[Department],Table1_2[[#This Row],[Department]],Table1_2[Date of Joining]),Table1_2[[#This Row],[Date of Joining]])</f>
        <v>42232</v>
      </c>
      <c r="N34">
        <f>IF(Table1_2[[#This Row],[Performance Rating]]="",AVERAGEIF(Table1_2[Department],Table1_2[[#This Row],[Department]],Table1_2[Performance Rating]),Table1_2[[#This Row],[Performance Rating]])</f>
        <v>3</v>
      </c>
      <c r="O34">
        <f>ROUND(Table1_2[[#This Row],[Performance Rating2]],0)</f>
        <v>3</v>
      </c>
      <c r="P34" t="s">
        <v>179</v>
      </c>
      <c r="S34">
        <f>ROUND(VALUE(Table1_2[[#This Row],[Salary2]]),0)</f>
        <v>95586</v>
      </c>
      <c r="T34">
        <f>VALUE(Table1_2[[#This Row],[Performance Rating22]])</f>
        <v>3</v>
      </c>
    </row>
    <row r="35" spans="1:20" x14ac:dyDescent="0.35">
      <c r="A35" t="s">
        <v>42</v>
      </c>
      <c r="B35" t="s">
        <v>287</v>
      </c>
      <c r="C35">
        <v>1033</v>
      </c>
      <c r="D35" t="s">
        <v>164</v>
      </c>
      <c r="E35" t="s">
        <v>170</v>
      </c>
      <c r="F35" t="s">
        <v>173</v>
      </c>
      <c r="G35" s="13">
        <v>95367</v>
      </c>
      <c r="H35" s="16">
        <v>42239</v>
      </c>
      <c r="J35" t="s">
        <v>180</v>
      </c>
      <c r="K35" t="s">
        <v>213</v>
      </c>
      <c r="L35" s="15">
        <f>IF(Table1_2[[#This Row],[Salary]]="N/A",AVERAGEIF(Table1_2[Department],Table1_2[[#This Row],[Department]],Table1_2[Salary]),Table1_2[[#This Row],[Salary]])</f>
        <v>95367</v>
      </c>
      <c r="M35" s="16">
        <f>IF(Table1_2[[#This Row],[Date of Joining]]="",AVERAGEIF(Table1_2[Department],Table1_2[[#This Row],[Department]],Table1_2[Date of Joining]),Table1_2[[#This Row],[Date of Joining]])</f>
        <v>42239</v>
      </c>
      <c r="N35">
        <f>IF(Table1_2[[#This Row],[Performance Rating]]="",AVERAGEIF(Table1_2[Department],Table1_2[[#This Row],[Department]],Table1_2[Performance Rating]),Table1_2[[#This Row],[Performance Rating]])</f>
        <v>3.1086956521739131</v>
      </c>
      <c r="O35">
        <f>ROUND(Table1_2[[#This Row],[Performance Rating2]],0)</f>
        <v>3</v>
      </c>
      <c r="P35" t="s">
        <v>180</v>
      </c>
      <c r="S35">
        <f>ROUND(VALUE(Table1_2[[#This Row],[Salary2]]),0)</f>
        <v>95367</v>
      </c>
      <c r="T35">
        <f>VALUE(Table1_2[[#This Row],[Performance Rating22]])</f>
        <v>3</v>
      </c>
    </row>
    <row r="36" spans="1:20" x14ac:dyDescent="0.35">
      <c r="A36" t="s">
        <v>43</v>
      </c>
      <c r="B36" t="s">
        <v>287</v>
      </c>
      <c r="C36">
        <v>1034</v>
      </c>
      <c r="D36" t="s">
        <v>161</v>
      </c>
      <c r="E36" t="s">
        <v>168</v>
      </c>
      <c r="F36" t="s">
        <v>176</v>
      </c>
      <c r="G36" s="13">
        <v>79549</v>
      </c>
      <c r="H36" s="16">
        <v>42246</v>
      </c>
      <c r="I36">
        <v>3</v>
      </c>
      <c r="K36" t="s">
        <v>214</v>
      </c>
      <c r="L36" s="15">
        <f>IF(Table1_2[[#This Row],[Salary]]="N/A",AVERAGEIF(Table1_2[Department],Table1_2[[#This Row],[Department]],Table1_2[Salary]),Table1_2[[#This Row],[Salary]])</f>
        <v>79549</v>
      </c>
      <c r="M36" s="16">
        <f>IF(Table1_2[[#This Row],[Date of Joining]]="",AVERAGEIF(Table1_2[Department],Table1_2[[#This Row],[Department]],Table1_2[Date of Joining]),Table1_2[[#This Row],[Date of Joining]])</f>
        <v>42246</v>
      </c>
      <c r="N36">
        <f>IF(Table1_2[[#This Row],[Performance Rating]]="",AVERAGEIF(Table1_2[Department],Table1_2[[#This Row],[Department]],Table1_2[Performance Rating]),Table1_2[[#This Row],[Performance Rating]])</f>
        <v>3</v>
      </c>
      <c r="O36">
        <f>ROUND(Table1_2[[#This Row],[Performance Rating2]],0)</f>
        <v>3</v>
      </c>
      <c r="P36" t="s">
        <v>180</v>
      </c>
      <c r="S36">
        <f>ROUND(VALUE(Table1_2[[#This Row],[Salary2]]),0)</f>
        <v>79549</v>
      </c>
      <c r="T36">
        <f>VALUE(Table1_2[[#This Row],[Performance Rating22]])</f>
        <v>3</v>
      </c>
    </row>
    <row r="37" spans="1:20" x14ac:dyDescent="0.35">
      <c r="A37" t="s">
        <v>44</v>
      </c>
      <c r="B37" t="s">
        <v>287</v>
      </c>
      <c r="C37">
        <v>1035</v>
      </c>
      <c r="D37" t="s">
        <v>160</v>
      </c>
      <c r="E37" t="s">
        <v>170</v>
      </c>
      <c r="F37" t="s">
        <v>175</v>
      </c>
      <c r="G37" s="13">
        <v>54463</v>
      </c>
      <c r="H37" s="16">
        <v>42253</v>
      </c>
      <c r="I37">
        <v>4</v>
      </c>
      <c r="J37" t="s">
        <v>180</v>
      </c>
      <c r="K37" t="s">
        <v>182</v>
      </c>
      <c r="L37" s="15">
        <f>IF(Table1_2[[#This Row],[Salary]]="N/A",AVERAGEIF(Table1_2[Department],Table1_2[[#This Row],[Department]],Table1_2[Salary]),Table1_2[[#This Row],[Salary]])</f>
        <v>54463</v>
      </c>
      <c r="M37" s="16">
        <f>IF(Table1_2[[#This Row],[Date of Joining]]="",AVERAGEIF(Table1_2[Department],Table1_2[[#This Row],[Department]],Table1_2[Date of Joining]),Table1_2[[#This Row],[Date of Joining]])</f>
        <v>42253</v>
      </c>
      <c r="N37">
        <f>IF(Table1_2[[#This Row],[Performance Rating]]="",AVERAGEIF(Table1_2[Department],Table1_2[[#This Row],[Department]],Table1_2[Performance Rating]),Table1_2[[#This Row],[Performance Rating]])</f>
        <v>4</v>
      </c>
      <c r="O37">
        <f>ROUND(Table1_2[[#This Row],[Performance Rating2]],0)</f>
        <v>4</v>
      </c>
      <c r="P37" t="s">
        <v>180</v>
      </c>
      <c r="S37">
        <f>ROUND(VALUE(Table1_2[[#This Row],[Salary2]]),0)</f>
        <v>54463</v>
      </c>
      <c r="T37">
        <f>VALUE(Table1_2[[#This Row],[Performance Rating22]])</f>
        <v>4</v>
      </c>
    </row>
    <row r="38" spans="1:20" x14ac:dyDescent="0.35">
      <c r="A38" t="s">
        <v>45</v>
      </c>
      <c r="B38" t="s">
        <v>287</v>
      </c>
      <c r="C38">
        <v>1036</v>
      </c>
      <c r="D38" t="s">
        <v>160</v>
      </c>
      <c r="E38" t="s">
        <v>169</v>
      </c>
      <c r="F38" t="s">
        <v>173</v>
      </c>
      <c r="G38" s="13">
        <v>89781</v>
      </c>
      <c r="H38" s="16">
        <v>42260</v>
      </c>
      <c r="J38" t="s">
        <v>181</v>
      </c>
      <c r="K38" t="s">
        <v>215</v>
      </c>
      <c r="L38" s="15">
        <f>IF(Table1_2[[#This Row],[Salary]]="N/A",AVERAGEIF(Table1_2[Department],Table1_2[[#This Row],[Department]],Table1_2[Salary]),Table1_2[[#This Row],[Salary]])</f>
        <v>89781</v>
      </c>
      <c r="M38" s="16">
        <f>IF(Table1_2[[#This Row],[Date of Joining]]="",AVERAGEIF(Table1_2[Department],Table1_2[[#This Row],[Department]],Table1_2[Date of Joining]),Table1_2[[#This Row],[Date of Joining]])</f>
        <v>42260</v>
      </c>
      <c r="N38">
        <f>IF(Table1_2[[#This Row],[Performance Rating]]="",AVERAGEIF(Table1_2[Department],Table1_2[[#This Row],[Department]],Table1_2[Performance Rating]),Table1_2[[#This Row],[Performance Rating]])</f>
        <v>2.9444444444444446</v>
      </c>
      <c r="O38">
        <f>ROUND(Table1_2[[#This Row],[Performance Rating2]],0)</f>
        <v>3</v>
      </c>
      <c r="P38" t="s">
        <v>181</v>
      </c>
      <c r="S38">
        <f>ROUND(VALUE(Table1_2[[#This Row],[Salary2]]),0)</f>
        <v>89781</v>
      </c>
      <c r="T38">
        <f>VALUE(Table1_2[[#This Row],[Performance Rating22]])</f>
        <v>3</v>
      </c>
    </row>
    <row r="39" spans="1:20" x14ac:dyDescent="0.35">
      <c r="A39" t="s">
        <v>46</v>
      </c>
      <c r="B39" t="s">
        <v>287</v>
      </c>
      <c r="C39">
        <v>1037</v>
      </c>
      <c r="D39" t="s">
        <v>160</v>
      </c>
      <c r="E39" t="s">
        <v>167</v>
      </c>
      <c r="F39" t="s">
        <v>174</v>
      </c>
      <c r="G39" s="13">
        <v>64796</v>
      </c>
      <c r="H39" s="16">
        <v>42267</v>
      </c>
      <c r="J39" t="s">
        <v>179</v>
      </c>
      <c r="K39" t="s">
        <v>216</v>
      </c>
      <c r="L39" s="15">
        <f>IF(Table1_2[[#This Row],[Salary]]="N/A",AVERAGEIF(Table1_2[Department],Table1_2[[#This Row],[Department]],Table1_2[Salary]),Table1_2[[#This Row],[Salary]])</f>
        <v>64796</v>
      </c>
      <c r="M39" s="16">
        <f>IF(Table1_2[[#This Row],[Date of Joining]]="",AVERAGEIF(Table1_2[Department],Table1_2[[#This Row],[Department]],Table1_2[Date of Joining]),Table1_2[[#This Row],[Date of Joining]])</f>
        <v>42267</v>
      </c>
      <c r="N39">
        <f>IF(Table1_2[[#This Row],[Performance Rating]]="",AVERAGEIF(Table1_2[Department],Table1_2[[#This Row],[Department]],Table1_2[Performance Rating]),Table1_2[[#This Row],[Performance Rating]])</f>
        <v>2.7</v>
      </c>
      <c r="O39">
        <f>ROUND(Table1_2[[#This Row],[Performance Rating2]],0)</f>
        <v>3</v>
      </c>
      <c r="P39" t="s">
        <v>179</v>
      </c>
      <c r="S39">
        <f>ROUND(VALUE(Table1_2[[#This Row],[Salary2]]),0)</f>
        <v>64796</v>
      </c>
      <c r="T39">
        <f>VALUE(Table1_2[[#This Row],[Performance Rating22]])</f>
        <v>3</v>
      </c>
    </row>
    <row r="40" spans="1:20" x14ac:dyDescent="0.35">
      <c r="A40" t="s">
        <v>47</v>
      </c>
      <c r="B40" t="s">
        <v>287</v>
      </c>
      <c r="C40">
        <v>1038</v>
      </c>
      <c r="D40" t="s">
        <v>161</v>
      </c>
      <c r="E40" t="s">
        <v>170</v>
      </c>
      <c r="F40" t="s">
        <v>175</v>
      </c>
      <c r="G40" s="13">
        <v>52093</v>
      </c>
      <c r="H40" s="16">
        <v>42274</v>
      </c>
      <c r="I40">
        <v>5</v>
      </c>
      <c r="K40" t="s">
        <v>217</v>
      </c>
      <c r="L40" s="15">
        <f>IF(Table1_2[[#This Row],[Salary]]="N/A",AVERAGEIF(Table1_2[Department],Table1_2[[#This Row],[Department]],Table1_2[Salary]),Table1_2[[#This Row],[Salary]])</f>
        <v>52093</v>
      </c>
      <c r="M40" s="16">
        <f>IF(Table1_2[[#This Row],[Date of Joining]]="",AVERAGEIF(Table1_2[Department],Table1_2[[#This Row],[Department]],Table1_2[Date of Joining]),Table1_2[[#This Row],[Date of Joining]])</f>
        <v>42274</v>
      </c>
      <c r="N40">
        <f>IF(Table1_2[[#This Row],[Performance Rating]]="",AVERAGEIF(Table1_2[Department],Table1_2[[#This Row],[Department]],Table1_2[Performance Rating]),Table1_2[[#This Row],[Performance Rating]])</f>
        <v>5</v>
      </c>
      <c r="O40">
        <f>ROUND(Table1_2[[#This Row],[Performance Rating2]],0)</f>
        <v>5</v>
      </c>
      <c r="P40" t="s">
        <v>180</v>
      </c>
      <c r="S40">
        <f>ROUND(VALUE(Table1_2[[#This Row],[Salary2]]),0)</f>
        <v>52093</v>
      </c>
      <c r="T40">
        <f>VALUE(Table1_2[[#This Row],[Performance Rating22]])</f>
        <v>5</v>
      </c>
    </row>
    <row r="41" spans="1:20" x14ac:dyDescent="0.35">
      <c r="A41" t="s">
        <v>48</v>
      </c>
      <c r="B41" t="s">
        <v>287</v>
      </c>
      <c r="C41">
        <v>1039</v>
      </c>
      <c r="D41" t="s">
        <v>164</v>
      </c>
      <c r="E41" t="s">
        <v>167</v>
      </c>
      <c r="F41" t="s">
        <v>175</v>
      </c>
      <c r="G41" s="13">
        <v>48224</v>
      </c>
      <c r="H41" s="16">
        <v>42281</v>
      </c>
      <c r="I41">
        <v>3</v>
      </c>
      <c r="K41" t="s">
        <v>218</v>
      </c>
      <c r="L41" s="15">
        <f>IF(Table1_2[[#This Row],[Salary]]="N/A",AVERAGEIF(Table1_2[Department],Table1_2[[#This Row],[Department]],Table1_2[Salary]),Table1_2[[#This Row],[Salary]])</f>
        <v>48224</v>
      </c>
      <c r="M41" s="16">
        <f>IF(Table1_2[[#This Row],[Date of Joining]]="",AVERAGEIF(Table1_2[Department],Table1_2[[#This Row],[Department]],Table1_2[Date of Joining]),Table1_2[[#This Row],[Date of Joining]])</f>
        <v>42281</v>
      </c>
      <c r="N41">
        <f>IF(Table1_2[[#This Row],[Performance Rating]]="",AVERAGEIF(Table1_2[Department],Table1_2[[#This Row],[Department]],Table1_2[Performance Rating]),Table1_2[[#This Row],[Performance Rating]])</f>
        <v>3</v>
      </c>
      <c r="O41">
        <f>ROUND(Table1_2[[#This Row],[Performance Rating2]],0)</f>
        <v>3</v>
      </c>
      <c r="P41" t="s">
        <v>180</v>
      </c>
      <c r="S41">
        <f>ROUND(VALUE(Table1_2[[#This Row],[Salary2]]),0)</f>
        <v>48224</v>
      </c>
      <c r="T41">
        <f>VALUE(Table1_2[[#This Row],[Performance Rating22]])</f>
        <v>3</v>
      </c>
    </row>
    <row r="42" spans="1:20" x14ac:dyDescent="0.35">
      <c r="A42" t="s">
        <v>49</v>
      </c>
      <c r="B42" t="s">
        <v>287</v>
      </c>
      <c r="C42">
        <v>1040</v>
      </c>
      <c r="D42" t="s">
        <v>165</v>
      </c>
      <c r="E42" t="s">
        <v>166</v>
      </c>
      <c r="F42" t="s">
        <v>175</v>
      </c>
      <c r="G42" s="13" t="s">
        <v>177</v>
      </c>
      <c r="H42" s="16"/>
      <c r="I42">
        <v>4</v>
      </c>
      <c r="J42" t="s">
        <v>181</v>
      </c>
      <c r="K42" t="s">
        <v>219</v>
      </c>
      <c r="L42" s="15">
        <f>IF(Table1_2[[#This Row],[Salary]]="N/A",AVERAGEIF(Table1_2[Department],Table1_2[[#This Row],[Department]],Table1_2[Salary]),Table1_2[[#This Row],[Salary]])</f>
        <v>65604.55</v>
      </c>
      <c r="M42" s="16">
        <f>IF(Table1_2[[#This Row],[Date of Joining]]="",AVERAGEIF(Table1_2[Department],Table1_2[[#This Row],[Department]],Table1_2[Date of Joining]),Table1_2[[#This Row],[Date of Joining]])</f>
        <v>42454.25</v>
      </c>
      <c r="N42">
        <f>IF(Table1_2[[#This Row],[Performance Rating]]="",AVERAGEIF(Table1_2[Department],Table1_2[[#This Row],[Department]],Table1_2[Performance Rating]),Table1_2[[#This Row],[Performance Rating]])</f>
        <v>4</v>
      </c>
      <c r="O42">
        <f>ROUND(Table1_2[[#This Row],[Performance Rating2]],0)</f>
        <v>4</v>
      </c>
      <c r="P42" t="s">
        <v>181</v>
      </c>
      <c r="S42">
        <f>ROUND(VALUE(Table1_2[[#This Row],[Salary2]]),0)</f>
        <v>65605</v>
      </c>
      <c r="T42">
        <f>VALUE(Table1_2[[#This Row],[Performance Rating22]])</f>
        <v>4</v>
      </c>
    </row>
    <row r="43" spans="1:20" x14ac:dyDescent="0.35">
      <c r="A43" t="s">
        <v>50</v>
      </c>
      <c r="B43" t="s">
        <v>287</v>
      </c>
      <c r="C43">
        <v>1041</v>
      </c>
      <c r="D43" t="s">
        <v>160</v>
      </c>
      <c r="E43" t="s">
        <v>169</v>
      </c>
      <c r="F43" t="s">
        <v>172</v>
      </c>
      <c r="G43" s="13">
        <v>33956</v>
      </c>
      <c r="H43" s="16">
        <v>42295</v>
      </c>
      <c r="K43" t="s">
        <v>220</v>
      </c>
      <c r="L43" s="15">
        <f>IF(Table1_2[[#This Row],[Salary]]="N/A",AVERAGEIF(Table1_2[Department],Table1_2[[#This Row],[Department]],Table1_2[Salary]),Table1_2[[#This Row],[Salary]])</f>
        <v>33956</v>
      </c>
      <c r="M43" s="16">
        <f>IF(Table1_2[[#This Row],[Date of Joining]]="",AVERAGEIF(Table1_2[Department],Table1_2[[#This Row],[Department]],Table1_2[Date of Joining]),Table1_2[[#This Row],[Date of Joining]])</f>
        <v>42295</v>
      </c>
      <c r="N43">
        <f>IF(Table1_2[[#This Row],[Performance Rating]]="",AVERAGEIF(Table1_2[Department],Table1_2[[#This Row],[Department]],Table1_2[Performance Rating]),Table1_2[[#This Row],[Performance Rating]])</f>
        <v>2.9444444444444446</v>
      </c>
      <c r="O43">
        <f>ROUND(Table1_2[[#This Row],[Performance Rating2]],0)</f>
        <v>3</v>
      </c>
      <c r="P43" t="s">
        <v>180</v>
      </c>
      <c r="S43">
        <f>ROUND(VALUE(Table1_2[[#This Row],[Salary2]]),0)</f>
        <v>33956</v>
      </c>
      <c r="T43">
        <f>VALUE(Table1_2[[#This Row],[Performance Rating22]])</f>
        <v>3</v>
      </c>
    </row>
    <row r="44" spans="1:20" x14ac:dyDescent="0.35">
      <c r="A44" t="s">
        <v>51</v>
      </c>
      <c r="B44" t="s">
        <v>287</v>
      </c>
      <c r="C44">
        <v>1042</v>
      </c>
      <c r="D44" t="s">
        <v>165</v>
      </c>
      <c r="E44" t="s">
        <v>170</v>
      </c>
      <c r="F44" t="s">
        <v>176</v>
      </c>
      <c r="G44" s="13">
        <v>64913</v>
      </c>
      <c r="H44" s="16">
        <v>42302</v>
      </c>
      <c r="I44">
        <v>1</v>
      </c>
      <c r="J44" t="s">
        <v>181</v>
      </c>
      <c r="K44" t="s">
        <v>221</v>
      </c>
      <c r="L44" s="15">
        <f>IF(Table1_2[[#This Row],[Salary]]="N/A",AVERAGEIF(Table1_2[Department],Table1_2[[#This Row],[Department]],Table1_2[Salary]),Table1_2[[#This Row],[Salary]])</f>
        <v>64913</v>
      </c>
      <c r="M44" s="16">
        <f>IF(Table1_2[[#This Row],[Date of Joining]]="",AVERAGEIF(Table1_2[Department],Table1_2[[#This Row],[Department]],Table1_2[Date of Joining]),Table1_2[[#This Row],[Date of Joining]])</f>
        <v>42302</v>
      </c>
      <c r="N44">
        <f>IF(Table1_2[[#This Row],[Performance Rating]]="",AVERAGEIF(Table1_2[Department],Table1_2[[#This Row],[Department]],Table1_2[Performance Rating]),Table1_2[[#This Row],[Performance Rating]])</f>
        <v>1</v>
      </c>
      <c r="O44">
        <f>ROUND(Table1_2[[#This Row],[Performance Rating2]],0)</f>
        <v>1</v>
      </c>
      <c r="P44" t="s">
        <v>181</v>
      </c>
      <c r="S44">
        <f>ROUND(VALUE(Table1_2[[#This Row],[Salary2]]),0)</f>
        <v>64913</v>
      </c>
      <c r="T44">
        <f>VALUE(Table1_2[[#This Row],[Performance Rating22]])</f>
        <v>1</v>
      </c>
    </row>
    <row r="45" spans="1:20" x14ac:dyDescent="0.35">
      <c r="A45" t="s">
        <v>52</v>
      </c>
      <c r="B45" t="s">
        <v>287</v>
      </c>
      <c r="C45">
        <v>1043</v>
      </c>
      <c r="D45" t="s">
        <v>160</v>
      </c>
      <c r="E45" t="s">
        <v>170</v>
      </c>
      <c r="F45" t="s">
        <v>176</v>
      </c>
      <c r="G45" s="13">
        <v>35326</v>
      </c>
      <c r="H45" s="16">
        <v>42309</v>
      </c>
      <c r="J45" t="s">
        <v>181</v>
      </c>
      <c r="K45" t="s">
        <v>222</v>
      </c>
      <c r="L45" s="15">
        <f>IF(Table1_2[[#This Row],[Salary]]="N/A",AVERAGEIF(Table1_2[Department],Table1_2[[#This Row],[Department]],Table1_2[Salary]),Table1_2[[#This Row],[Salary]])</f>
        <v>35326</v>
      </c>
      <c r="M45" s="16">
        <f>IF(Table1_2[[#This Row],[Date of Joining]]="",AVERAGEIF(Table1_2[Department],Table1_2[[#This Row],[Department]],Table1_2[Date of Joining]),Table1_2[[#This Row],[Date of Joining]])</f>
        <v>42309</v>
      </c>
      <c r="N45">
        <f>IF(Table1_2[[#This Row],[Performance Rating]]="",AVERAGEIF(Table1_2[Department],Table1_2[[#This Row],[Department]],Table1_2[Performance Rating]),Table1_2[[#This Row],[Performance Rating]])</f>
        <v>3.1086956521739131</v>
      </c>
      <c r="O45">
        <f>ROUND(Table1_2[[#This Row],[Performance Rating2]],0)</f>
        <v>3</v>
      </c>
      <c r="P45" t="s">
        <v>181</v>
      </c>
      <c r="S45">
        <f>ROUND(VALUE(Table1_2[[#This Row],[Salary2]]),0)</f>
        <v>35326</v>
      </c>
      <c r="T45">
        <f>VALUE(Table1_2[[#This Row],[Performance Rating22]])</f>
        <v>3</v>
      </c>
    </row>
    <row r="46" spans="1:20" x14ac:dyDescent="0.35">
      <c r="A46" t="s">
        <v>53</v>
      </c>
      <c r="B46" t="s">
        <v>287</v>
      </c>
      <c r="C46">
        <v>1044</v>
      </c>
      <c r="D46" t="s">
        <v>164</v>
      </c>
      <c r="E46" t="s">
        <v>166</v>
      </c>
      <c r="F46" t="s">
        <v>174</v>
      </c>
      <c r="G46" s="13">
        <v>81610</v>
      </c>
      <c r="H46" s="16">
        <v>42316</v>
      </c>
      <c r="I46">
        <v>1</v>
      </c>
      <c r="K46" t="s">
        <v>223</v>
      </c>
      <c r="L46" s="15">
        <f>IF(Table1_2[[#This Row],[Salary]]="N/A",AVERAGEIF(Table1_2[Department],Table1_2[[#This Row],[Department]],Table1_2[Salary]),Table1_2[[#This Row],[Salary]])</f>
        <v>81610</v>
      </c>
      <c r="M46" s="16">
        <f>IF(Table1_2[[#This Row],[Date of Joining]]="",AVERAGEIF(Table1_2[Department],Table1_2[[#This Row],[Department]],Table1_2[Date of Joining]),Table1_2[[#This Row],[Date of Joining]])</f>
        <v>42316</v>
      </c>
      <c r="N46">
        <f>IF(Table1_2[[#This Row],[Performance Rating]]="",AVERAGEIF(Table1_2[Department],Table1_2[[#This Row],[Department]],Table1_2[Performance Rating]),Table1_2[[#This Row],[Performance Rating]])</f>
        <v>1</v>
      </c>
      <c r="O46">
        <f>ROUND(Table1_2[[#This Row],[Performance Rating2]],0)</f>
        <v>1</v>
      </c>
      <c r="P46" t="s">
        <v>180</v>
      </c>
      <c r="S46">
        <f>ROUND(VALUE(Table1_2[[#This Row],[Salary2]]),0)</f>
        <v>81610</v>
      </c>
      <c r="T46">
        <f>VALUE(Table1_2[[#This Row],[Performance Rating22]])</f>
        <v>1</v>
      </c>
    </row>
    <row r="47" spans="1:20" x14ac:dyDescent="0.35">
      <c r="A47" t="s">
        <v>54</v>
      </c>
      <c r="B47" t="s">
        <v>287</v>
      </c>
      <c r="C47">
        <v>1045</v>
      </c>
      <c r="D47" t="s">
        <v>178</v>
      </c>
      <c r="E47" t="s">
        <v>167</v>
      </c>
      <c r="F47" t="s">
        <v>174</v>
      </c>
      <c r="G47" s="13">
        <v>58962</v>
      </c>
      <c r="H47" s="16">
        <v>42323</v>
      </c>
      <c r="I47">
        <v>3</v>
      </c>
      <c r="J47" t="s">
        <v>179</v>
      </c>
      <c r="K47" t="s">
        <v>183</v>
      </c>
      <c r="L47" s="15">
        <f>IF(Table1_2[[#This Row],[Salary]]="N/A",AVERAGEIF(Table1_2[Department],Table1_2[[#This Row],[Department]],Table1_2[Salary]),Table1_2[[#This Row],[Salary]])</f>
        <v>58962</v>
      </c>
      <c r="M47" s="16">
        <f>IF(Table1_2[[#This Row],[Date of Joining]]="",AVERAGEIF(Table1_2[Department],Table1_2[[#This Row],[Department]],Table1_2[Date of Joining]),Table1_2[[#This Row],[Date of Joining]])</f>
        <v>42323</v>
      </c>
      <c r="N47">
        <f>IF(Table1_2[[#This Row],[Performance Rating]]="",AVERAGEIF(Table1_2[Department],Table1_2[[#This Row],[Department]],Table1_2[Performance Rating]),Table1_2[[#This Row],[Performance Rating]])</f>
        <v>3</v>
      </c>
      <c r="O47">
        <f>ROUND(Table1_2[[#This Row],[Performance Rating2]],0)</f>
        <v>3</v>
      </c>
      <c r="P47" t="s">
        <v>179</v>
      </c>
      <c r="S47">
        <f>ROUND(VALUE(Table1_2[[#This Row],[Salary2]]),0)</f>
        <v>58962</v>
      </c>
      <c r="T47">
        <f>VALUE(Table1_2[[#This Row],[Performance Rating22]])</f>
        <v>3</v>
      </c>
    </row>
    <row r="48" spans="1:20" x14ac:dyDescent="0.35">
      <c r="A48" t="s">
        <v>55</v>
      </c>
      <c r="B48" t="s">
        <v>287</v>
      </c>
      <c r="C48">
        <v>1046</v>
      </c>
      <c r="D48" t="s">
        <v>164</v>
      </c>
      <c r="E48" t="s">
        <v>169</v>
      </c>
      <c r="F48" t="s">
        <v>172</v>
      </c>
      <c r="G48" s="13">
        <v>92701</v>
      </c>
      <c r="H48" s="16">
        <v>42330</v>
      </c>
      <c r="I48">
        <v>3</v>
      </c>
      <c r="J48" t="s">
        <v>179</v>
      </c>
      <c r="K48" t="s">
        <v>224</v>
      </c>
      <c r="L48" s="15">
        <f>IF(Table1_2[[#This Row],[Salary]]="N/A",AVERAGEIF(Table1_2[Department],Table1_2[[#This Row],[Department]],Table1_2[Salary]),Table1_2[[#This Row],[Salary]])</f>
        <v>92701</v>
      </c>
      <c r="M48" s="16">
        <f>IF(Table1_2[[#This Row],[Date of Joining]]="",AVERAGEIF(Table1_2[Department],Table1_2[[#This Row],[Department]],Table1_2[Date of Joining]),Table1_2[[#This Row],[Date of Joining]])</f>
        <v>42330</v>
      </c>
      <c r="N48">
        <f>IF(Table1_2[[#This Row],[Performance Rating]]="",AVERAGEIF(Table1_2[Department],Table1_2[[#This Row],[Department]],Table1_2[Performance Rating]),Table1_2[[#This Row],[Performance Rating]])</f>
        <v>3</v>
      </c>
      <c r="O48">
        <f>ROUND(Table1_2[[#This Row],[Performance Rating2]],0)</f>
        <v>3</v>
      </c>
      <c r="P48" t="s">
        <v>179</v>
      </c>
      <c r="S48">
        <f>ROUND(VALUE(Table1_2[[#This Row],[Salary2]]),0)</f>
        <v>92701</v>
      </c>
      <c r="T48">
        <f>VALUE(Table1_2[[#This Row],[Performance Rating22]])</f>
        <v>3</v>
      </c>
    </row>
    <row r="49" spans="1:20" x14ac:dyDescent="0.35">
      <c r="A49" t="s">
        <v>56</v>
      </c>
      <c r="B49" t="s">
        <v>287</v>
      </c>
      <c r="C49">
        <v>1047</v>
      </c>
      <c r="D49" t="s">
        <v>164</v>
      </c>
      <c r="E49" t="s">
        <v>167</v>
      </c>
      <c r="F49" t="s">
        <v>174</v>
      </c>
      <c r="G49" s="13">
        <v>58245</v>
      </c>
      <c r="H49" s="16">
        <v>42337</v>
      </c>
      <c r="I49">
        <v>4</v>
      </c>
      <c r="K49" t="s">
        <v>225</v>
      </c>
      <c r="L49" s="15">
        <f>IF(Table1_2[[#This Row],[Salary]]="N/A",AVERAGEIF(Table1_2[Department],Table1_2[[#This Row],[Department]],Table1_2[Salary]),Table1_2[[#This Row],[Salary]])</f>
        <v>58245</v>
      </c>
      <c r="M49" s="16">
        <f>IF(Table1_2[[#This Row],[Date of Joining]]="",AVERAGEIF(Table1_2[Department],Table1_2[[#This Row],[Department]],Table1_2[Date of Joining]),Table1_2[[#This Row],[Date of Joining]])</f>
        <v>42337</v>
      </c>
      <c r="N49">
        <f>IF(Table1_2[[#This Row],[Performance Rating]]="",AVERAGEIF(Table1_2[Department],Table1_2[[#This Row],[Department]],Table1_2[Performance Rating]),Table1_2[[#This Row],[Performance Rating]])</f>
        <v>4</v>
      </c>
      <c r="O49">
        <f>ROUND(Table1_2[[#This Row],[Performance Rating2]],0)</f>
        <v>4</v>
      </c>
      <c r="P49" t="s">
        <v>180</v>
      </c>
      <c r="S49">
        <f>ROUND(VALUE(Table1_2[[#This Row],[Salary2]]),0)</f>
        <v>58245</v>
      </c>
      <c r="T49">
        <f>VALUE(Table1_2[[#This Row],[Performance Rating22]])</f>
        <v>4</v>
      </c>
    </row>
    <row r="50" spans="1:20" x14ac:dyDescent="0.35">
      <c r="A50" t="s">
        <v>57</v>
      </c>
      <c r="B50" t="s">
        <v>287</v>
      </c>
      <c r="C50">
        <v>1048</v>
      </c>
      <c r="D50" t="s">
        <v>161</v>
      </c>
      <c r="E50" t="s">
        <v>166</v>
      </c>
      <c r="F50" t="s">
        <v>174</v>
      </c>
      <c r="G50" s="13">
        <v>66513</v>
      </c>
      <c r="H50" s="16">
        <v>42344</v>
      </c>
      <c r="I50">
        <v>2</v>
      </c>
      <c r="J50" t="s">
        <v>179</v>
      </c>
      <c r="K50" t="s">
        <v>187</v>
      </c>
      <c r="L50" s="15">
        <f>IF(Table1_2[[#This Row],[Salary]]="N/A",AVERAGEIF(Table1_2[Department],Table1_2[[#This Row],[Department]],Table1_2[Salary]),Table1_2[[#This Row],[Salary]])</f>
        <v>66513</v>
      </c>
      <c r="M50" s="16">
        <f>IF(Table1_2[[#This Row],[Date of Joining]]="",AVERAGEIF(Table1_2[Department],Table1_2[[#This Row],[Department]],Table1_2[Date of Joining]),Table1_2[[#This Row],[Date of Joining]])</f>
        <v>42344</v>
      </c>
      <c r="N50">
        <f>IF(Table1_2[[#This Row],[Performance Rating]]="",AVERAGEIF(Table1_2[Department],Table1_2[[#This Row],[Department]],Table1_2[Performance Rating]),Table1_2[[#This Row],[Performance Rating]])</f>
        <v>2</v>
      </c>
      <c r="O50">
        <f>ROUND(Table1_2[[#This Row],[Performance Rating2]],0)</f>
        <v>2</v>
      </c>
      <c r="P50" t="s">
        <v>179</v>
      </c>
      <c r="S50">
        <f>ROUND(VALUE(Table1_2[[#This Row],[Salary2]]),0)</f>
        <v>66513</v>
      </c>
      <c r="T50">
        <f>VALUE(Table1_2[[#This Row],[Performance Rating22]])</f>
        <v>2</v>
      </c>
    </row>
    <row r="51" spans="1:20" x14ac:dyDescent="0.35">
      <c r="A51" t="s">
        <v>58</v>
      </c>
      <c r="B51" t="s">
        <v>287</v>
      </c>
      <c r="C51">
        <v>1049</v>
      </c>
      <c r="D51" t="s">
        <v>159</v>
      </c>
      <c r="E51" t="s">
        <v>167</v>
      </c>
      <c r="F51" t="s">
        <v>172</v>
      </c>
      <c r="G51" s="13">
        <v>78720</v>
      </c>
      <c r="H51" s="16">
        <v>42351</v>
      </c>
      <c r="I51">
        <v>5</v>
      </c>
      <c r="J51" t="s">
        <v>181</v>
      </c>
      <c r="K51" t="s">
        <v>219</v>
      </c>
      <c r="L51" s="15">
        <f>IF(Table1_2[[#This Row],[Salary]]="N/A",AVERAGEIF(Table1_2[Department],Table1_2[[#This Row],[Department]],Table1_2[Salary]),Table1_2[[#This Row],[Salary]])</f>
        <v>78720</v>
      </c>
      <c r="M51" s="16">
        <f>IF(Table1_2[[#This Row],[Date of Joining]]="",AVERAGEIF(Table1_2[Department],Table1_2[[#This Row],[Department]],Table1_2[Date of Joining]),Table1_2[[#This Row],[Date of Joining]])</f>
        <v>42351</v>
      </c>
      <c r="N51">
        <f>IF(Table1_2[[#This Row],[Performance Rating]]="",AVERAGEIF(Table1_2[Department],Table1_2[[#This Row],[Department]],Table1_2[Performance Rating]),Table1_2[[#This Row],[Performance Rating]])</f>
        <v>5</v>
      </c>
      <c r="O51">
        <f>ROUND(Table1_2[[#This Row],[Performance Rating2]],0)</f>
        <v>5</v>
      </c>
      <c r="P51" t="s">
        <v>181</v>
      </c>
      <c r="S51">
        <f>ROUND(VALUE(Table1_2[[#This Row],[Salary2]]),0)</f>
        <v>78720</v>
      </c>
      <c r="T51">
        <f>VALUE(Table1_2[[#This Row],[Performance Rating22]])</f>
        <v>5</v>
      </c>
    </row>
    <row r="52" spans="1:20" x14ac:dyDescent="0.35">
      <c r="A52" t="s">
        <v>59</v>
      </c>
      <c r="B52" t="s">
        <v>287</v>
      </c>
      <c r="C52">
        <v>1050</v>
      </c>
      <c r="D52" t="s">
        <v>164</v>
      </c>
      <c r="E52" t="s">
        <v>170</v>
      </c>
      <c r="F52" t="s">
        <v>174</v>
      </c>
      <c r="G52" s="13">
        <v>30686</v>
      </c>
      <c r="H52" s="16"/>
      <c r="I52">
        <v>2</v>
      </c>
      <c r="J52" t="s">
        <v>181</v>
      </c>
      <c r="K52" t="s">
        <v>226</v>
      </c>
      <c r="L52" s="15">
        <f>IF(Table1_2[[#This Row],[Salary]]="N/A",AVERAGEIF(Table1_2[Department],Table1_2[[#This Row],[Department]],Table1_2[Salary]),Table1_2[[#This Row],[Salary]])</f>
        <v>30686</v>
      </c>
      <c r="M52" s="16">
        <f>IF(Table1_2[[#This Row],[Date of Joining]]="",AVERAGEIF(Table1_2[Department],Table1_2[[#This Row],[Department]],Table1_2[Date of Joining]),Table1_2[[#This Row],[Date of Joining]])</f>
        <v>42590</v>
      </c>
      <c r="N52">
        <f>IF(Table1_2[[#This Row],[Performance Rating]]="",AVERAGEIF(Table1_2[Department],Table1_2[[#This Row],[Department]],Table1_2[Performance Rating]),Table1_2[[#This Row],[Performance Rating]])</f>
        <v>2</v>
      </c>
      <c r="O52">
        <f>ROUND(Table1_2[[#This Row],[Performance Rating2]],0)</f>
        <v>2</v>
      </c>
      <c r="P52" t="s">
        <v>181</v>
      </c>
      <c r="S52">
        <f>ROUND(VALUE(Table1_2[[#This Row],[Salary2]]),0)</f>
        <v>30686</v>
      </c>
      <c r="T52">
        <f>VALUE(Table1_2[[#This Row],[Performance Rating22]])</f>
        <v>2</v>
      </c>
    </row>
    <row r="53" spans="1:20" x14ac:dyDescent="0.35">
      <c r="A53" t="s">
        <v>60</v>
      </c>
      <c r="B53" t="s">
        <v>287</v>
      </c>
      <c r="C53">
        <v>1051</v>
      </c>
      <c r="D53" t="s">
        <v>163</v>
      </c>
      <c r="E53" t="s">
        <v>168</v>
      </c>
      <c r="F53" t="s">
        <v>174</v>
      </c>
      <c r="G53" s="13">
        <v>39423</v>
      </c>
      <c r="H53" s="16">
        <v>42365</v>
      </c>
      <c r="I53">
        <v>5</v>
      </c>
      <c r="K53" t="s">
        <v>227</v>
      </c>
      <c r="L53" s="15">
        <f>IF(Table1_2[[#This Row],[Salary]]="N/A",AVERAGEIF(Table1_2[Department],Table1_2[[#This Row],[Department]],Table1_2[Salary]),Table1_2[[#This Row],[Salary]])</f>
        <v>39423</v>
      </c>
      <c r="M53" s="16">
        <f>IF(Table1_2[[#This Row],[Date of Joining]]="",AVERAGEIF(Table1_2[Department],Table1_2[[#This Row],[Department]],Table1_2[Date of Joining]),Table1_2[[#This Row],[Date of Joining]])</f>
        <v>42365</v>
      </c>
      <c r="N53">
        <f>IF(Table1_2[[#This Row],[Performance Rating]]="",AVERAGEIF(Table1_2[Department],Table1_2[[#This Row],[Department]],Table1_2[Performance Rating]),Table1_2[[#This Row],[Performance Rating]])</f>
        <v>5</v>
      </c>
      <c r="O53">
        <f>ROUND(Table1_2[[#This Row],[Performance Rating2]],0)</f>
        <v>5</v>
      </c>
      <c r="P53" t="s">
        <v>180</v>
      </c>
      <c r="S53">
        <f>ROUND(VALUE(Table1_2[[#This Row],[Salary2]]),0)</f>
        <v>39423</v>
      </c>
      <c r="T53">
        <f>VALUE(Table1_2[[#This Row],[Performance Rating22]])</f>
        <v>5</v>
      </c>
    </row>
    <row r="54" spans="1:20" x14ac:dyDescent="0.35">
      <c r="A54" t="s">
        <v>61</v>
      </c>
      <c r="B54" t="s">
        <v>287</v>
      </c>
      <c r="C54">
        <v>1052</v>
      </c>
      <c r="D54" t="s">
        <v>159</v>
      </c>
      <c r="E54" t="s">
        <v>170</v>
      </c>
      <c r="F54" t="s">
        <v>174</v>
      </c>
      <c r="G54" s="13">
        <v>30280</v>
      </c>
      <c r="H54" s="16">
        <v>42372</v>
      </c>
      <c r="I54">
        <v>1</v>
      </c>
      <c r="K54" t="s">
        <v>228</v>
      </c>
      <c r="L54" s="15">
        <f>IF(Table1_2[[#This Row],[Salary]]="N/A",AVERAGEIF(Table1_2[Department],Table1_2[[#This Row],[Department]],Table1_2[Salary]),Table1_2[[#This Row],[Salary]])</f>
        <v>30280</v>
      </c>
      <c r="M54" s="16">
        <f>IF(Table1_2[[#This Row],[Date of Joining]]="",AVERAGEIF(Table1_2[Department],Table1_2[[#This Row],[Department]],Table1_2[Date of Joining]),Table1_2[[#This Row],[Date of Joining]])</f>
        <v>42372</v>
      </c>
      <c r="N54">
        <f>IF(Table1_2[[#This Row],[Performance Rating]]="",AVERAGEIF(Table1_2[Department],Table1_2[[#This Row],[Department]],Table1_2[Performance Rating]),Table1_2[[#This Row],[Performance Rating]])</f>
        <v>1</v>
      </c>
      <c r="O54">
        <f>ROUND(Table1_2[[#This Row],[Performance Rating2]],0)</f>
        <v>1</v>
      </c>
      <c r="P54" t="s">
        <v>180</v>
      </c>
      <c r="S54">
        <f>ROUND(VALUE(Table1_2[[#This Row],[Salary2]]),0)</f>
        <v>30280</v>
      </c>
      <c r="T54">
        <f>VALUE(Table1_2[[#This Row],[Performance Rating22]])</f>
        <v>1</v>
      </c>
    </row>
    <row r="55" spans="1:20" x14ac:dyDescent="0.35">
      <c r="A55" t="s">
        <v>62</v>
      </c>
      <c r="B55" t="s">
        <v>287</v>
      </c>
      <c r="C55">
        <v>1053</v>
      </c>
      <c r="D55" t="s">
        <v>159</v>
      </c>
      <c r="E55" t="s">
        <v>166</v>
      </c>
      <c r="F55" t="s">
        <v>175</v>
      </c>
      <c r="G55" s="13">
        <v>33352</v>
      </c>
      <c r="H55" s="16">
        <v>42379</v>
      </c>
      <c r="I55">
        <v>3</v>
      </c>
      <c r="J55" t="s">
        <v>181</v>
      </c>
      <c r="K55" t="s">
        <v>200</v>
      </c>
      <c r="L55" s="15">
        <f>IF(Table1_2[[#This Row],[Salary]]="N/A",AVERAGEIF(Table1_2[Department],Table1_2[[#This Row],[Department]],Table1_2[Salary]),Table1_2[[#This Row],[Salary]])</f>
        <v>33352</v>
      </c>
      <c r="M55" s="16">
        <f>IF(Table1_2[[#This Row],[Date of Joining]]="",AVERAGEIF(Table1_2[Department],Table1_2[[#This Row],[Department]],Table1_2[Date of Joining]),Table1_2[[#This Row],[Date of Joining]])</f>
        <v>42379</v>
      </c>
      <c r="N55">
        <f>IF(Table1_2[[#This Row],[Performance Rating]]="",AVERAGEIF(Table1_2[Department],Table1_2[[#This Row],[Department]],Table1_2[Performance Rating]),Table1_2[[#This Row],[Performance Rating]])</f>
        <v>3</v>
      </c>
      <c r="O55">
        <f>ROUND(Table1_2[[#This Row],[Performance Rating2]],0)</f>
        <v>3</v>
      </c>
      <c r="P55" t="s">
        <v>181</v>
      </c>
      <c r="S55">
        <f>ROUND(VALUE(Table1_2[[#This Row],[Salary2]]),0)</f>
        <v>33352</v>
      </c>
      <c r="T55">
        <f>VALUE(Table1_2[[#This Row],[Performance Rating22]])</f>
        <v>3</v>
      </c>
    </row>
    <row r="56" spans="1:20" x14ac:dyDescent="0.35">
      <c r="A56" t="s">
        <v>63</v>
      </c>
      <c r="B56" t="s">
        <v>287</v>
      </c>
      <c r="C56">
        <v>1054</v>
      </c>
      <c r="D56" t="s">
        <v>165</v>
      </c>
      <c r="E56" t="s">
        <v>170</v>
      </c>
      <c r="F56" t="s">
        <v>175</v>
      </c>
      <c r="G56" s="13">
        <v>75633</v>
      </c>
      <c r="H56" s="16">
        <v>42386</v>
      </c>
      <c r="I56">
        <v>5</v>
      </c>
      <c r="J56" t="s">
        <v>179</v>
      </c>
      <c r="K56" t="s">
        <v>229</v>
      </c>
      <c r="L56" s="15">
        <f>IF(Table1_2[[#This Row],[Salary]]="N/A",AVERAGEIF(Table1_2[Department],Table1_2[[#This Row],[Department]],Table1_2[Salary]),Table1_2[[#This Row],[Salary]])</f>
        <v>75633</v>
      </c>
      <c r="M56" s="16">
        <f>IF(Table1_2[[#This Row],[Date of Joining]]="",AVERAGEIF(Table1_2[Department],Table1_2[[#This Row],[Department]],Table1_2[Date of Joining]),Table1_2[[#This Row],[Date of Joining]])</f>
        <v>42386</v>
      </c>
      <c r="N56">
        <f>IF(Table1_2[[#This Row],[Performance Rating]]="",AVERAGEIF(Table1_2[Department],Table1_2[[#This Row],[Department]],Table1_2[Performance Rating]),Table1_2[[#This Row],[Performance Rating]])</f>
        <v>5</v>
      </c>
      <c r="O56">
        <f>ROUND(Table1_2[[#This Row],[Performance Rating2]],0)</f>
        <v>5</v>
      </c>
      <c r="P56" t="s">
        <v>179</v>
      </c>
      <c r="S56">
        <f>ROUND(VALUE(Table1_2[[#This Row],[Salary2]]),0)</f>
        <v>75633</v>
      </c>
      <c r="T56">
        <f>VALUE(Table1_2[[#This Row],[Performance Rating22]])</f>
        <v>5</v>
      </c>
    </row>
    <row r="57" spans="1:20" x14ac:dyDescent="0.35">
      <c r="A57" t="s">
        <v>64</v>
      </c>
      <c r="B57" t="s">
        <v>287</v>
      </c>
      <c r="C57">
        <v>1055</v>
      </c>
      <c r="D57" t="s">
        <v>164</v>
      </c>
      <c r="E57" t="s">
        <v>170</v>
      </c>
      <c r="F57" t="s">
        <v>173</v>
      </c>
      <c r="G57" s="13">
        <v>74815</v>
      </c>
      <c r="H57" s="16">
        <v>42393</v>
      </c>
      <c r="I57">
        <v>5</v>
      </c>
      <c r="J57" t="s">
        <v>181</v>
      </c>
      <c r="K57" t="s">
        <v>230</v>
      </c>
      <c r="L57" s="15">
        <f>IF(Table1_2[[#This Row],[Salary]]="N/A",AVERAGEIF(Table1_2[Department],Table1_2[[#This Row],[Department]],Table1_2[Salary]),Table1_2[[#This Row],[Salary]])</f>
        <v>74815</v>
      </c>
      <c r="M57" s="16">
        <f>IF(Table1_2[[#This Row],[Date of Joining]]="",AVERAGEIF(Table1_2[Department],Table1_2[[#This Row],[Department]],Table1_2[Date of Joining]),Table1_2[[#This Row],[Date of Joining]])</f>
        <v>42393</v>
      </c>
      <c r="N57">
        <f>IF(Table1_2[[#This Row],[Performance Rating]]="",AVERAGEIF(Table1_2[Department],Table1_2[[#This Row],[Department]],Table1_2[Performance Rating]),Table1_2[[#This Row],[Performance Rating]])</f>
        <v>5</v>
      </c>
      <c r="O57">
        <f>ROUND(Table1_2[[#This Row],[Performance Rating2]],0)</f>
        <v>5</v>
      </c>
      <c r="P57" t="s">
        <v>181</v>
      </c>
      <c r="S57">
        <f>ROUND(VALUE(Table1_2[[#This Row],[Salary2]]),0)</f>
        <v>74815</v>
      </c>
      <c r="T57">
        <f>VALUE(Table1_2[[#This Row],[Performance Rating22]])</f>
        <v>5</v>
      </c>
    </row>
    <row r="58" spans="1:20" x14ac:dyDescent="0.35">
      <c r="A58" t="s">
        <v>65</v>
      </c>
      <c r="B58" t="s">
        <v>287</v>
      </c>
      <c r="C58">
        <v>1056</v>
      </c>
      <c r="D58" t="s">
        <v>161</v>
      </c>
      <c r="E58" t="s">
        <v>168</v>
      </c>
      <c r="F58" t="s">
        <v>176</v>
      </c>
      <c r="G58" s="13">
        <v>60011</v>
      </c>
      <c r="H58" s="16">
        <v>42400</v>
      </c>
      <c r="I58">
        <v>1</v>
      </c>
      <c r="J58" t="s">
        <v>180</v>
      </c>
      <c r="K58" t="s">
        <v>231</v>
      </c>
      <c r="L58" s="15">
        <f>IF(Table1_2[[#This Row],[Salary]]="N/A",AVERAGEIF(Table1_2[Department],Table1_2[[#This Row],[Department]],Table1_2[Salary]),Table1_2[[#This Row],[Salary]])</f>
        <v>60011</v>
      </c>
      <c r="M58" s="16">
        <f>IF(Table1_2[[#This Row],[Date of Joining]]="",AVERAGEIF(Table1_2[Department],Table1_2[[#This Row],[Department]],Table1_2[Date of Joining]),Table1_2[[#This Row],[Date of Joining]])</f>
        <v>42400</v>
      </c>
      <c r="N58">
        <f>IF(Table1_2[[#This Row],[Performance Rating]]="",AVERAGEIF(Table1_2[Department],Table1_2[[#This Row],[Department]],Table1_2[Performance Rating]),Table1_2[[#This Row],[Performance Rating]])</f>
        <v>1</v>
      </c>
      <c r="O58">
        <f>ROUND(Table1_2[[#This Row],[Performance Rating2]],0)</f>
        <v>1</v>
      </c>
      <c r="P58" t="s">
        <v>180</v>
      </c>
      <c r="S58">
        <f>ROUND(VALUE(Table1_2[[#This Row],[Salary2]]),0)</f>
        <v>60011</v>
      </c>
      <c r="T58">
        <f>VALUE(Table1_2[[#This Row],[Performance Rating22]])</f>
        <v>1</v>
      </c>
    </row>
    <row r="59" spans="1:20" x14ac:dyDescent="0.35">
      <c r="A59" t="s">
        <v>66</v>
      </c>
      <c r="B59" t="s">
        <v>287</v>
      </c>
      <c r="C59">
        <v>1057</v>
      </c>
      <c r="D59" t="s">
        <v>159</v>
      </c>
      <c r="E59" t="s">
        <v>170</v>
      </c>
      <c r="F59" t="s">
        <v>174</v>
      </c>
      <c r="G59" s="13">
        <v>96949</v>
      </c>
      <c r="H59" s="16">
        <v>42407</v>
      </c>
      <c r="I59">
        <v>3</v>
      </c>
      <c r="K59" t="s">
        <v>207</v>
      </c>
      <c r="L59" s="15">
        <f>IF(Table1_2[[#This Row],[Salary]]="N/A",AVERAGEIF(Table1_2[Department],Table1_2[[#This Row],[Department]],Table1_2[Salary]),Table1_2[[#This Row],[Salary]])</f>
        <v>96949</v>
      </c>
      <c r="M59" s="16">
        <f>IF(Table1_2[[#This Row],[Date of Joining]]="",AVERAGEIF(Table1_2[Department],Table1_2[[#This Row],[Department]],Table1_2[Date of Joining]),Table1_2[[#This Row],[Date of Joining]])</f>
        <v>42407</v>
      </c>
      <c r="N59">
        <f>IF(Table1_2[[#This Row],[Performance Rating]]="",AVERAGEIF(Table1_2[Department],Table1_2[[#This Row],[Department]],Table1_2[Performance Rating]),Table1_2[[#This Row],[Performance Rating]])</f>
        <v>3</v>
      </c>
      <c r="O59">
        <f>ROUND(Table1_2[[#This Row],[Performance Rating2]],0)</f>
        <v>3</v>
      </c>
      <c r="P59" t="s">
        <v>180</v>
      </c>
      <c r="S59">
        <f>ROUND(VALUE(Table1_2[[#This Row],[Salary2]]),0)</f>
        <v>96949</v>
      </c>
      <c r="T59">
        <f>VALUE(Table1_2[[#This Row],[Performance Rating22]])</f>
        <v>3</v>
      </c>
    </row>
    <row r="60" spans="1:20" x14ac:dyDescent="0.35">
      <c r="A60" t="s">
        <v>67</v>
      </c>
      <c r="B60" t="s">
        <v>287</v>
      </c>
      <c r="C60">
        <v>1058</v>
      </c>
      <c r="D60" t="s">
        <v>163</v>
      </c>
      <c r="E60" t="s">
        <v>170</v>
      </c>
      <c r="F60" t="s">
        <v>174</v>
      </c>
      <c r="G60" s="13">
        <v>84924</v>
      </c>
      <c r="H60" s="16">
        <v>42414</v>
      </c>
      <c r="I60">
        <v>5</v>
      </c>
      <c r="J60" t="s">
        <v>180</v>
      </c>
      <c r="K60" t="s">
        <v>232</v>
      </c>
      <c r="L60" s="15">
        <f>IF(Table1_2[[#This Row],[Salary]]="N/A",AVERAGEIF(Table1_2[Department],Table1_2[[#This Row],[Department]],Table1_2[Salary]),Table1_2[[#This Row],[Salary]])</f>
        <v>84924</v>
      </c>
      <c r="M60" s="16">
        <f>IF(Table1_2[[#This Row],[Date of Joining]]="",AVERAGEIF(Table1_2[Department],Table1_2[[#This Row],[Department]],Table1_2[Date of Joining]),Table1_2[[#This Row],[Date of Joining]])</f>
        <v>42414</v>
      </c>
      <c r="N60">
        <f>IF(Table1_2[[#This Row],[Performance Rating]]="",AVERAGEIF(Table1_2[Department],Table1_2[[#This Row],[Department]],Table1_2[Performance Rating]),Table1_2[[#This Row],[Performance Rating]])</f>
        <v>5</v>
      </c>
      <c r="O60">
        <f>ROUND(Table1_2[[#This Row],[Performance Rating2]],0)</f>
        <v>5</v>
      </c>
      <c r="P60" t="s">
        <v>180</v>
      </c>
      <c r="S60">
        <f>ROUND(VALUE(Table1_2[[#This Row],[Salary2]]),0)</f>
        <v>84924</v>
      </c>
      <c r="T60">
        <f>VALUE(Table1_2[[#This Row],[Performance Rating22]])</f>
        <v>5</v>
      </c>
    </row>
    <row r="61" spans="1:20" x14ac:dyDescent="0.35">
      <c r="A61" t="s">
        <v>68</v>
      </c>
      <c r="B61" t="s">
        <v>287</v>
      </c>
      <c r="C61">
        <v>1059</v>
      </c>
      <c r="D61" t="s">
        <v>163</v>
      </c>
      <c r="E61" t="s">
        <v>166</v>
      </c>
      <c r="F61" t="s">
        <v>173</v>
      </c>
      <c r="G61" s="13">
        <v>82033</v>
      </c>
      <c r="H61" s="16">
        <v>42421</v>
      </c>
      <c r="I61">
        <v>1</v>
      </c>
      <c r="K61" t="s">
        <v>223</v>
      </c>
      <c r="L61" s="15">
        <f>IF(Table1_2[[#This Row],[Salary]]="N/A",AVERAGEIF(Table1_2[Department],Table1_2[[#This Row],[Department]],Table1_2[Salary]),Table1_2[[#This Row],[Salary]])</f>
        <v>82033</v>
      </c>
      <c r="M61" s="16">
        <f>IF(Table1_2[[#This Row],[Date of Joining]]="",AVERAGEIF(Table1_2[Department],Table1_2[[#This Row],[Department]],Table1_2[Date of Joining]),Table1_2[[#This Row],[Date of Joining]])</f>
        <v>42421</v>
      </c>
      <c r="N61">
        <f>IF(Table1_2[[#This Row],[Performance Rating]]="",AVERAGEIF(Table1_2[Department],Table1_2[[#This Row],[Department]],Table1_2[Performance Rating]),Table1_2[[#This Row],[Performance Rating]])</f>
        <v>1</v>
      </c>
      <c r="O61">
        <f>ROUND(Table1_2[[#This Row],[Performance Rating2]],0)</f>
        <v>1</v>
      </c>
      <c r="P61" t="s">
        <v>180</v>
      </c>
      <c r="S61">
        <f>ROUND(VALUE(Table1_2[[#This Row],[Salary2]]),0)</f>
        <v>82033</v>
      </c>
      <c r="T61">
        <f>VALUE(Table1_2[[#This Row],[Performance Rating22]])</f>
        <v>1</v>
      </c>
    </row>
    <row r="62" spans="1:20" x14ac:dyDescent="0.35">
      <c r="A62" t="s">
        <v>69</v>
      </c>
      <c r="B62" t="s">
        <v>287</v>
      </c>
      <c r="C62">
        <v>1060</v>
      </c>
      <c r="D62" t="s">
        <v>178</v>
      </c>
      <c r="E62" t="s">
        <v>170</v>
      </c>
      <c r="F62" t="s">
        <v>172</v>
      </c>
      <c r="G62" s="13" t="s">
        <v>177</v>
      </c>
      <c r="H62" s="16"/>
      <c r="I62">
        <v>5</v>
      </c>
      <c r="J62" t="s">
        <v>178</v>
      </c>
      <c r="K62" t="s">
        <v>233</v>
      </c>
      <c r="L62" s="15">
        <f>IF(Table1_2[[#This Row],[Salary]]="N/A",AVERAGEIF(Table1_2[Department],Table1_2[[#This Row],[Department]],Table1_2[Salary]),Table1_2[[#This Row],[Salary]])</f>
        <v>65071.98</v>
      </c>
      <c r="M62" s="16">
        <f>IF(Table1_2[[#This Row],[Date of Joining]]="",AVERAGEIF(Table1_2[Department],Table1_2[[#This Row],[Department]],Table1_2[Date of Joining]),Table1_2[[#This Row],[Date of Joining]])</f>
        <v>42590</v>
      </c>
      <c r="N62">
        <f>IF(Table1_2[[#This Row],[Performance Rating]]="",AVERAGEIF(Table1_2[Department],Table1_2[[#This Row],[Department]],Table1_2[Performance Rating]),Table1_2[[#This Row],[Performance Rating]])</f>
        <v>5</v>
      </c>
      <c r="O62">
        <f>ROUND(Table1_2[[#This Row],[Performance Rating2]],0)</f>
        <v>5</v>
      </c>
      <c r="P62" t="s">
        <v>178</v>
      </c>
      <c r="S62">
        <f>ROUND(VALUE(Table1_2[[#This Row],[Salary2]]),0)</f>
        <v>65072</v>
      </c>
      <c r="T62">
        <f>VALUE(Table1_2[[#This Row],[Performance Rating22]])</f>
        <v>5</v>
      </c>
    </row>
    <row r="63" spans="1:20" x14ac:dyDescent="0.35">
      <c r="A63" t="s">
        <v>70</v>
      </c>
      <c r="B63" t="s">
        <v>287</v>
      </c>
      <c r="C63">
        <v>1061</v>
      </c>
      <c r="D63" t="s">
        <v>159</v>
      </c>
      <c r="E63" t="s">
        <v>170</v>
      </c>
      <c r="F63" t="s">
        <v>176</v>
      </c>
      <c r="G63" s="13">
        <v>31499</v>
      </c>
      <c r="H63" s="16">
        <v>42435</v>
      </c>
      <c r="I63">
        <v>2</v>
      </c>
      <c r="K63" t="s">
        <v>215</v>
      </c>
      <c r="L63" s="15">
        <f>IF(Table1_2[[#This Row],[Salary]]="N/A",AVERAGEIF(Table1_2[Department],Table1_2[[#This Row],[Department]],Table1_2[Salary]),Table1_2[[#This Row],[Salary]])</f>
        <v>31499</v>
      </c>
      <c r="M63" s="16">
        <f>IF(Table1_2[[#This Row],[Date of Joining]]="",AVERAGEIF(Table1_2[Department],Table1_2[[#This Row],[Department]],Table1_2[Date of Joining]),Table1_2[[#This Row],[Date of Joining]])</f>
        <v>42435</v>
      </c>
      <c r="N63">
        <f>IF(Table1_2[[#This Row],[Performance Rating]]="",AVERAGEIF(Table1_2[Department],Table1_2[[#This Row],[Department]],Table1_2[Performance Rating]),Table1_2[[#This Row],[Performance Rating]])</f>
        <v>2</v>
      </c>
      <c r="O63">
        <f>ROUND(Table1_2[[#This Row],[Performance Rating2]],0)</f>
        <v>2</v>
      </c>
      <c r="P63" t="s">
        <v>180</v>
      </c>
      <c r="S63">
        <f>ROUND(VALUE(Table1_2[[#This Row],[Salary2]]),0)</f>
        <v>31499</v>
      </c>
      <c r="T63">
        <f>VALUE(Table1_2[[#This Row],[Performance Rating22]])</f>
        <v>2</v>
      </c>
    </row>
    <row r="64" spans="1:20" x14ac:dyDescent="0.35">
      <c r="A64" t="s">
        <v>71</v>
      </c>
      <c r="B64" t="s">
        <v>287</v>
      </c>
      <c r="C64">
        <v>1062</v>
      </c>
      <c r="D64" t="s">
        <v>164</v>
      </c>
      <c r="E64" t="s">
        <v>169</v>
      </c>
      <c r="F64" t="s">
        <v>175</v>
      </c>
      <c r="G64" s="13">
        <v>97981</v>
      </c>
      <c r="H64" s="16">
        <v>42442</v>
      </c>
      <c r="I64">
        <v>5</v>
      </c>
      <c r="J64" t="s">
        <v>181</v>
      </c>
      <c r="K64" t="s">
        <v>234</v>
      </c>
      <c r="L64" s="15">
        <f>IF(Table1_2[[#This Row],[Salary]]="N/A",AVERAGEIF(Table1_2[Department],Table1_2[[#This Row],[Department]],Table1_2[Salary]),Table1_2[[#This Row],[Salary]])</f>
        <v>97981</v>
      </c>
      <c r="M64" s="16">
        <f>IF(Table1_2[[#This Row],[Date of Joining]]="",AVERAGEIF(Table1_2[Department],Table1_2[[#This Row],[Department]],Table1_2[Date of Joining]),Table1_2[[#This Row],[Date of Joining]])</f>
        <v>42442</v>
      </c>
      <c r="N64">
        <f>IF(Table1_2[[#This Row],[Performance Rating]]="",AVERAGEIF(Table1_2[Department],Table1_2[[#This Row],[Department]],Table1_2[Performance Rating]),Table1_2[[#This Row],[Performance Rating]])</f>
        <v>5</v>
      </c>
      <c r="O64">
        <f>ROUND(Table1_2[[#This Row],[Performance Rating2]],0)</f>
        <v>5</v>
      </c>
      <c r="P64" t="s">
        <v>181</v>
      </c>
      <c r="S64">
        <f>ROUND(VALUE(Table1_2[[#This Row],[Salary2]]),0)</f>
        <v>97981</v>
      </c>
      <c r="T64">
        <f>VALUE(Table1_2[[#This Row],[Performance Rating22]])</f>
        <v>5</v>
      </c>
    </row>
    <row r="65" spans="1:20" x14ac:dyDescent="0.35">
      <c r="A65" t="s">
        <v>72</v>
      </c>
      <c r="B65" t="s">
        <v>287</v>
      </c>
      <c r="C65">
        <v>1063</v>
      </c>
      <c r="D65" t="s">
        <v>159</v>
      </c>
      <c r="E65" t="s">
        <v>167</v>
      </c>
      <c r="F65" t="s">
        <v>173</v>
      </c>
      <c r="G65" s="13">
        <v>36541</v>
      </c>
      <c r="H65" s="16">
        <v>42449</v>
      </c>
      <c r="I65">
        <v>2</v>
      </c>
      <c r="J65" t="s">
        <v>179</v>
      </c>
      <c r="K65" t="s">
        <v>235</v>
      </c>
      <c r="L65" s="15">
        <f>IF(Table1_2[[#This Row],[Salary]]="N/A",AVERAGEIF(Table1_2[Department],Table1_2[[#This Row],[Department]],Table1_2[Salary]),Table1_2[[#This Row],[Salary]])</f>
        <v>36541</v>
      </c>
      <c r="M65" s="16">
        <f>IF(Table1_2[[#This Row],[Date of Joining]]="",AVERAGEIF(Table1_2[Department],Table1_2[[#This Row],[Department]],Table1_2[Date of Joining]),Table1_2[[#This Row],[Date of Joining]])</f>
        <v>42449</v>
      </c>
      <c r="N65">
        <f>IF(Table1_2[[#This Row],[Performance Rating]]="",AVERAGEIF(Table1_2[Department],Table1_2[[#This Row],[Department]],Table1_2[Performance Rating]),Table1_2[[#This Row],[Performance Rating]])</f>
        <v>2</v>
      </c>
      <c r="O65">
        <f>ROUND(Table1_2[[#This Row],[Performance Rating2]],0)</f>
        <v>2</v>
      </c>
      <c r="P65" t="s">
        <v>179</v>
      </c>
      <c r="S65">
        <f>ROUND(VALUE(Table1_2[[#This Row],[Salary2]]),0)</f>
        <v>36541</v>
      </c>
      <c r="T65">
        <f>VALUE(Table1_2[[#This Row],[Performance Rating22]])</f>
        <v>2</v>
      </c>
    </row>
    <row r="66" spans="1:20" x14ac:dyDescent="0.35">
      <c r="A66" t="s">
        <v>73</v>
      </c>
      <c r="B66" t="s">
        <v>287</v>
      </c>
      <c r="C66">
        <v>1064</v>
      </c>
      <c r="D66" t="s">
        <v>161</v>
      </c>
      <c r="E66" t="s">
        <v>169</v>
      </c>
      <c r="F66" t="s">
        <v>174</v>
      </c>
      <c r="G66" s="13">
        <v>84737</v>
      </c>
      <c r="H66" s="16">
        <v>42456</v>
      </c>
      <c r="I66">
        <v>1</v>
      </c>
      <c r="J66" t="s">
        <v>180</v>
      </c>
      <c r="K66" t="s">
        <v>236</v>
      </c>
      <c r="L66" s="15">
        <f>IF(Table1_2[[#This Row],[Salary]]="N/A",AVERAGEIF(Table1_2[Department],Table1_2[[#This Row],[Department]],Table1_2[Salary]),Table1_2[[#This Row],[Salary]])</f>
        <v>84737</v>
      </c>
      <c r="M66" s="16">
        <f>IF(Table1_2[[#This Row],[Date of Joining]]="",AVERAGEIF(Table1_2[Department],Table1_2[[#This Row],[Department]],Table1_2[Date of Joining]),Table1_2[[#This Row],[Date of Joining]])</f>
        <v>42456</v>
      </c>
      <c r="N66">
        <f>IF(Table1_2[[#This Row],[Performance Rating]]="",AVERAGEIF(Table1_2[Department],Table1_2[[#This Row],[Department]],Table1_2[Performance Rating]),Table1_2[[#This Row],[Performance Rating]])</f>
        <v>1</v>
      </c>
      <c r="O66">
        <f>ROUND(Table1_2[[#This Row],[Performance Rating2]],0)</f>
        <v>1</v>
      </c>
      <c r="P66" t="s">
        <v>180</v>
      </c>
      <c r="S66">
        <f>ROUND(VALUE(Table1_2[[#This Row],[Salary2]]),0)</f>
        <v>84737</v>
      </c>
      <c r="T66">
        <f>VALUE(Table1_2[[#This Row],[Performance Rating22]])</f>
        <v>1</v>
      </c>
    </row>
    <row r="67" spans="1:20" x14ac:dyDescent="0.35">
      <c r="A67" t="s">
        <v>74</v>
      </c>
      <c r="B67" t="s">
        <v>287</v>
      </c>
      <c r="C67">
        <v>1065</v>
      </c>
      <c r="D67" t="s">
        <v>163</v>
      </c>
      <c r="E67" t="s">
        <v>166</v>
      </c>
      <c r="F67" t="s">
        <v>174</v>
      </c>
      <c r="G67" s="13">
        <v>33468</v>
      </c>
      <c r="H67" s="16">
        <v>42463</v>
      </c>
      <c r="I67">
        <v>4</v>
      </c>
      <c r="J67" t="s">
        <v>180</v>
      </c>
      <c r="K67" t="s">
        <v>237</v>
      </c>
      <c r="L67" s="15">
        <f>IF(Table1_2[[#This Row],[Salary]]="N/A",AVERAGEIF(Table1_2[Department],Table1_2[[#This Row],[Department]],Table1_2[Salary]),Table1_2[[#This Row],[Salary]])</f>
        <v>33468</v>
      </c>
      <c r="M67" s="16">
        <f>IF(Table1_2[[#This Row],[Date of Joining]]="",AVERAGEIF(Table1_2[Department],Table1_2[[#This Row],[Department]],Table1_2[Date of Joining]),Table1_2[[#This Row],[Date of Joining]])</f>
        <v>42463</v>
      </c>
      <c r="N67">
        <f>IF(Table1_2[[#This Row],[Performance Rating]]="",AVERAGEIF(Table1_2[Department],Table1_2[[#This Row],[Department]],Table1_2[Performance Rating]),Table1_2[[#This Row],[Performance Rating]])</f>
        <v>4</v>
      </c>
      <c r="O67">
        <f>ROUND(Table1_2[[#This Row],[Performance Rating2]],0)</f>
        <v>4</v>
      </c>
      <c r="P67" t="s">
        <v>180</v>
      </c>
      <c r="S67">
        <f>ROUND(VALUE(Table1_2[[#This Row],[Salary2]]),0)</f>
        <v>33468</v>
      </c>
      <c r="T67">
        <f>VALUE(Table1_2[[#This Row],[Performance Rating22]])</f>
        <v>4</v>
      </c>
    </row>
    <row r="68" spans="1:20" x14ac:dyDescent="0.35">
      <c r="A68" t="s">
        <v>75</v>
      </c>
      <c r="B68" t="s">
        <v>287</v>
      </c>
      <c r="C68">
        <v>1066</v>
      </c>
      <c r="D68" t="s">
        <v>163</v>
      </c>
      <c r="E68" t="s">
        <v>170</v>
      </c>
      <c r="F68" t="s">
        <v>176</v>
      </c>
      <c r="G68" s="13">
        <v>96365</v>
      </c>
      <c r="H68" s="16">
        <v>42470</v>
      </c>
      <c r="I68">
        <v>3</v>
      </c>
      <c r="J68" t="s">
        <v>179</v>
      </c>
      <c r="K68" t="s">
        <v>238</v>
      </c>
      <c r="L68" s="15">
        <f>IF(Table1_2[[#This Row],[Salary]]="N/A",AVERAGEIF(Table1_2[Department],Table1_2[[#This Row],[Department]],Table1_2[Salary]),Table1_2[[#This Row],[Salary]])</f>
        <v>96365</v>
      </c>
      <c r="M68" s="16">
        <f>IF(Table1_2[[#This Row],[Date of Joining]]="",AVERAGEIF(Table1_2[Department],Table1_2[[#This Row],[Department]],Table1_2[Date of Joining]),Table1_2[[#This Row],[Date of Joining]])</f>
        <v>42470</v>
      </c>
      <c r="N68">
        <f>IF(Table1_2[[#This Row],[Performance Rating]]="",AVERAGEIF(Table1_2[Department],Table1_2[[#This Row],[Department]],Table1_2[Performance Rating]),Table1_2[[#This Row],[Performance Rating]])</f>
        <v>3</v>
      </c>
      <c r="O68">
        <f>ROUND(Table1_2[[#This Row],[Performance Rating2]],0)</f>
        <v>3</v>
      </c>
      <c r="P68" t="s">
        <v>179</v>
      </c>
      <c r="S68">
        <f>ROUND(VALUE(Table1_2[[#This Row],[Salary2]]),0)</f>
        <v>96365</v>
      </c>
      <c r="T68">
        <f>VALUE(Table1_2[[#This Row],[Performance Rating22]])</f>
        <v>3</v>
      </c>
    </row>
    <row r="69" spans="1:20" x14ac:dyDescent="0.35">
      <c r="A69" t="s">
        <v>76</v>
      </c>
      <c r="B69" t="s">
        <v>287</v>
      </c>
      <c r="C69">
        <v>1067</v>
      </c>
      <c r="D69" t="s">
        <v>160</v>
      </c>
      <c r="E69" t="s">
        <v>168</v>
      </c>
      <c r="F69" t="s">
        <v>174</v>
      </c>
      <c r="G69" s="13">
        <v>61942</v>
      </c>
      <c r="H69" s="16">
        <v>42477</v>
      </c>
      <c r="I69">
        <v>3</v>
      </c>
      <c r="J69" t="s">
        <v>181</v>
      </c>
      <c r="K69" t="s">
        <v>239</v>
      </c>
      <c r="L69" s="15">
        <f>IF(Table1_2[[#This Row],[Salary]]="N/A",AVERAGEIF(Table1_2[Department],Table1_2[[#This Row],[Department]],Table1_2[Salary]),Table1_2[[#This Row],[Salary]])</f>
        <v>61942</v>
      </c>
      <c r="M69" s="16">
        <f>IF(Table1_2[[#This Row],[Date of Joining]]="",AVERAGEIF(Table1_2[Department],Table1_2[[#This Row],[Department]],Table1_2[Date of Joining]),Table1_2[[#This Row],[Date of Joining]])</f>
        <v>42477</v>
      </c>
      <c r="N69">
        <f>IF(Table1_2[[#This Row],[Performance Rating]]="",AVERAGEIF(Table1_2[Department],Table1_2[[#This Row],[Department]],Table1_2[Performance Rating]),Table1_2[[#This Row],[Performance Rating]])</f>
        <v>3</v>
      </c>
      <c r="O69">
        <f>ROUND(Table1_2[[#This Row],[Performance Rating2]],0)</f>
        <v>3</v>
      </c>
      <c r="P69" t="s">
        <v>181</v>
      </c>
      <c r="S69">
        <f>ROUND(VALUE(Table1_2[[#This Row],[Salary2]]),0)</f>
        <v>61942</v>
      </c>
      <c r="T69">
        <f>VALUE(Table1_2[[#This Row],[Performance Rating22]])</f>
        <v>3</v>
      </c>
    </row>
    <row r="70" spans="1:20" x14ac:dyDescent="0.35">
      <c r="A70" t="s">
        <v>77</v>
      </c>
      <c r="B70" t="s">
        <v>287</v>
      </c>
      <c r="C70">
        <v>1068</v>
      </c>
      <c r="D70" t="s">
        <v>163</v>
      </c>
      <c r="E70" t="s">
        <v>166</v>
      </c>
      <c r="F70" t="s">
        <v>175</v>
      </c>
      <c r="G70" s="13">
        <v>41467</v>
      </c>
      <c r="H70" s="16">
        <v>42484</v>
      </c>
      <c r="I70">
        <v>2</v>
      </c>
      <c r="K70" t="s">
        <v>201</v>
      </c>
      <c r="L70" s="15">
        <f>IF(Table1_2[[#This Row],[Salary]]="N/A",AVERAGEIF(Table1_2[Department],Table1_2[[#This Row],[Department]],Table1_2[Salary]),Table1_2[[#This Row],[Salary]])</f>
        <v>41467</v>
      </c>
      <c r="M70" s="16">
        <f>IF(Table1_2[[#This Row],[Date of Joining]]="",AVERAGEIF(Table1_2[Department],Table1_2[[#This Row],[Department]],Table1_2[Date of Joining]),Table1_2[[#This Row],[Date of Joining]])</f>
        <v>42484</v>
      </c>
      <c r="N70">
        <f>IF(Table1_2[[#This Row],[Performance Rating]]="",AVERAGEIF(Table1_2[Department],Table1_2[[#This Row],[Department]],Table1_2[Performance Rating]),Table1_2[[#This Row],[Performance Rating]])</f>
        <v>2</v>
      </c>
      <c r="O70">
        <f>ROUND(Table1_2[[#This Row],[Performance Rating2]],0)</f>
        <v>2</v>
      </c>
      <c r="P70" t="s">
        <v>180</v>
      </c>
      <c r="S70">
        <f>ROUND(VALUE(Table1_2[[#This Row],[Salary2]]),0)</f>
        <v>41467</v>
      </c>
      <c r="T70">
        <f>VALUE(Table1_2[[#This Row],[Performance Rating22]])</f>
        <v>2</v>
      </c>
    </row>
    <row r="71" spans="1:20" x14ac:dyDescent="0.35">
      <c r="A71" t="s">
        <v>78</v>
      </c>
      <c r="B71" t="s">
        <v>287</v>
      </c>
      <c r="C71">
        <v>1069</v>
      </c>
      <c r="D71" t="s">
        <v>165</v>
      </c>
      <c r="E71" t="s">
        <v>166</v>
      </c>
      <c r="F71" t="s">
        <v>174</v>
      </c>
      <c r="G71" s="13">
        <v>77096</v>
      </c>
      <c r="H71" s="16">
        <v>42491</v>
      </c>
      <c r="I71">
        <v>1</v>
      </c>
      <c r="K71" t="s">
        <v>240</v>
      </c>
      <c r="L71" s="15">
        <f>IF(Table1_2[[#This Row],[Salary]]="N/A",AVERAGEIF(Table1_2[Department],Table1_2[[#This Row],[Department]],Table1_2[Salary]),Table1_2[[#This Row],[Salary]])</f>
        <v>77096</v>
      </c>
      <c r="M71" s="16">
        <f>IF(Table1_2[[#This Row],[Date of Joining]]="",AVERAGEIF(Table1_2[Department],Table1_2[[#This Row],[Department]],Table1_2[Date of Joining]),Table1_2[[#This Row],[Date of Joining]])</f>
        <v>42491</v>
      </c>
      <c r="N71">
        <f>IF(Table1_2[[#This Row],[Performance Rating]]="",AVERAGEIF(Table1_2[Department],Table1_2[[#This Row],[Department]],Table1_2[Performance Rating]),Table1_2[[#This Row],[Performance Rating]])</f>
        <v>1</v>
      </c>
      <c r="O71">
        <f>ROUND(Table1_2[[#This Row],[Performance Rating2]],0)</f>
        <v>1</v>
      </c>
      <c r="P71" t="s">
        <v>180</v>
      </c>
      <c r="S71">
        <f>ROUND(VALUE(Table1_2[[#This Row],[Salary2]]),0)</f>
        <v>77096</v>
      </c>
      <c r="T71">
        <f>VALUE(Table1_2[[#This Row],[Performance Rating22]])</f>
        <v>1</v>
      </c>
    </row>
    <row r="72" spans="1:20" x14ac:dyDescent="0.35">
      <c r="A72" t="s">
        <v>79</v>
      </c>
      <c r="B72" t="s">
        <v>287</v>
      </c>
      <c r="C72">
        <v>1070</v>
      </c>
      <c r="D72" t="s">
        <v>159</v>
      </c>
      <c r="E72" t="s">
        <v>168</v>
      </c>
      <c r="F72" t="s">
        <v>176</v>
      </c>
      <c r="G72" s="13">
        <v>69952</v>
      </c>
      <c r="H72" s="16">
        <v>42498</v>
      </c>
      <c r="I72">
        <v>5</v>
      </c>
      <c r="J72" t="s">
        <v>181</v>
      </c>
      <c r="K72" t="s">
        <v>182</v>
      </c>
      <c r="L72" s="15">
        <f>IF(Table1_2[[#This Row],[Salary]]="N/A",AVERAGEIF(Table1_2[Department],Table1_2[[#This Row],[Department]],Table1_2[Salary]),Table1_2[[#This Row],[Salary]])</f>
        <v>69952</v>
      </c>
      <c r="M72" s="16">
        <f>IF(Table1_2[[#This Row],[Date of Joining]]="",AVERAGEIF(Table1_2[Department],Table1_2[[#This Row],[Department]],Table1_2[Date of Joining]),Table1_2[[#This Row],[Date of Joining]])</f>
        <v>42498</v>
      </c>
      <c r="N72">
        <f>IF(Table1_2[[#This Row],[Performance Rating]]="",AVERAGEIF(Table1_2[Department],Table1_2[[#This Row],[Department]],Table1_2[Performance Rating]),Table1_2[[#This Row],[Performance Rating]])</f>
        <v>5</v>
      </c>
      <c r="O72">
        <f>ROUND(Table1_2[[#This Row],[Performance Rating2]],0)</f>
        <v>5</v>
      </c>
      <c r="P72" t="s">
        <v>181</v>
      </c>
      <c r="S72">
        <f>ROUND(VALUE(Table1_2[[#This Row],[Salary2]]),0)</f>
        <v>69952</v>
      </c>
      <c r="T72">
        <f>VALUE(Table1_2[[#This Row],[Performance Rating22]])</f>
        <v>5</v>
      </c>
    </row>
    <row r="73" spans="1:20" x14ac:dyDescent="0.35">
      <c r="A73" t="s">
        <v>80</v>
      </c>
      <c r="B73" t="s">
        <v>287</v>
      </c>
      <c r="C73">
        <v>1071</v>
      </c>
      <c r="D73" t="s">
        <v>159</v>
      </c>
      <c r="E73" t="s">
        <v>170</v>
      </c>
      <c r="F73" t="s">
        <v>173</v>
      </c>
      <c r="G73" s="13">
        <v>85065</v>
      </c>
      <c r="H73" s="16">
        <v>42505</v>
      </c>
      <c r="I73">
        <v>3</v>
      </c>
      <c r="K73" t="s">
        <v>241</v>
      </c>
      <c r="L73" s="15">
        <f>IF(Table1_2[[#This Row],[Salary]]="N/A",AVERAGEIF(Table1_2[Department],Table1_2[[#This Row],[Department]],Table1_2[Salary]),Table1_2[[#This Row],[Salary]])</f>
        <v>85065</v>
      </c>
      <c r="M73" s="16">
        <f>IF(Table1_2[[#This Row],[Date of Joining]]="",AVERAGEIF(Table1_2[Department],Table1_2[[#This Row],[Department]],Table1_2[Date of Joining]),Table1_2[[#This Row],[Date of Joining]])</f>
        <v>42505</v>
      </c>
      <c r="N73">
        <f>IF(Table1_2[[#This Row],[Performance Rating]]="",AVERAGEIF(Table1_2[Department],Table1_2[[#This Row],[Department]],Table1_2[Performance Rating]),Table1_2[[#This Row],[Performance Rating]])</f>
        <v>3</v>
      </c>
      <c r="O73">
        <f>ROUND(Table1_2[[#This Row],[Performance Rating2]],0)</f>
        <v>3</v>
      </c>
      <c r="P73" t="s">
        <v>180</v>
      </c>
      <c r="S73">
        <f>ROUND(VALUE(Table1_2[[#This Row],[Salary2]]),0)</f>
        <v>85065</v>
      </c>
      <c r="T73">
        <f>VALUE(Table1_2[[#This Row],[Performance Rating22]])</f>
        <v>3</v>
      </c>
    </row>
    <row r="74" spans="1:20" x14ac:dyDescent="0.35">
      <c r="A74" t="s">
        <v>81</v>
      </c>
      <c r="B74" t="s">
        <v>287</v>
      </c>
      <c r="C74">
        <v>1072</v>
      </c>
      <c r="D74" t="s">
        <v>165</v>
      </c>
      <c r="E74" t="s">
        <v>170</v>
      </c>
      <c r="F74" t="s">
        <v>174</v>
      </c>
      <c r="G74" s="13">
        <v>56512</v>
      </c>
      <c r="H74" s="16">
        <v>42512</v>
      </c>
      <c r="J74" t="s">
        <v>179</v>
      </c>
      <c r="K74" t="s">
        <v>190</v>
      </c>
      <c r="L74" s="15">
        <f>IF(Table1_2[[#This Row],[Salary]]="N/A",AVERAGEIF(Table1_2[Department],Table1_2[[#This Row],[Department]],Table1_2[Salary]),Table1_2[[#This Row],[Salary]])</f>
        <v>56512</v>
      </c>
      <c r="M74" s="16">
        <f>IF(Table1_2[[#This Row],[Date of Joining]]="",AVERAGEIF(Table1_2[Department],Table1_2[[#This Row],[Department]],Table1_2[Date of Joining]),Table1_2[[#This Row],[Date of Joining]])</f>
        <v>42512</v>
      </c>
      <c r="N74">
        <f>IF(Table1_2[[#This Row],[Performance Rating]]="",AVERAGEIF(Table1_2[Department],Table1_2[[#This Row],[Department]],Table1_2[Performance Rating]),Table1_2[[#This Row],[Performance Rating]])</f>
        <v>3.1086956521739131</v>
      </c>
      <c r="O74">
        <f>ROUND(Table1_2[[#This Row],[Performance Rating2]],0)</f>
        <v>3</v>
      </c>
      <c r="P74" t="s">
        <v>179</v>
      </c>
      <c r="S74">
        <f>ROUND(VALUE(Table1_2[[#This Row],[Salary2]]),0)</f>
        <v>56512</v>
      </c>
      <c r="T74">
        <f>VALUE(Table1_2[[#This Row],[Performance Rating22]])</f>
        <v>3</v>
      </c>
    </row>
    <row r="75" spans="1:20" x14ac:dyDescent="0.35">
      <c r="A75" t="s">
        <v>82</v>
      </c>
      <c r="B75" t="s">
        <v>287</v>
      </c>
      <c r="C75">
        <v>1073</v>
      </c>
      <c r="D75" t="s">
        <v>161</v>
      </c>
      <c r="E75" t="s">
        <v>168</v>
      </c>
      <c r="F75" t="s">
        <v>174</v>
      </c>
      <c r="G75" s="13">
        <v>91101</v>
      </c>
      <c r="H75" s="16">
        <v>42519</v>
      </c>
      <c r="I75">
        <v>4</v>
      </c>
      <c r="J75" t="s">
        <v>181</v>
      </c>
      <c r="K75" t="s">
        <v>234</v>
      </c>
      <c r="L75" s="15">
        <f>IF(Table1_2[[#This Row],[Salary]]="N/A",AVERAGEIF(Table1_2[Department],Table1_2[[#This Row],[Department]],Table1_2[Salary]),Table1_2[[#This Row],[Salary]])</f>
        <v>91101</v>
      </c>
      <c r="M75" s="16">
        <f>IF(Table1_2[[#This Row],[Date of Joining]]="",AVERAGEIF(Table1_2[Department],Table1_2[[#This Row],[Department]],Table1_2[Date of Joining]),Table1_2[[#This Row],[Date of Joining]])</f>
        <v>42519</v>
      </c>
      <c r="N75">
        <f>IF(Table1_2[[#This Row],[Performance Rating]]="",AVERAGEIF(Table1_2[Department],Table1_2[[#This Row],[Department]],Table1_2[Performance Rating]),Table1_2[[#This Row],[Performance Rating]])</f>
        <v>4</v>
      </c>
      <c r="O75">
        <f>ROUND(Table1_2[[#This Row],[Performance Rating2]],0)</f>
        <v>4</v>
      </c>
      <c r="P75" t="s">
        <v>181</v>
      </c>
      <c r="S75">
        <f>ROUND(VALUE(Table1_2[[#This Row],[Salary2]]),0)</f>
        <v>91101</v>
      </c>
      <c r="T75">
        <f>VALUE(Table1_2[[#This Row],[Performance Rating22]])</f>
        <v>4</v>
      </c>
    </row>
    <row r="76" spans="1:20" x14ac:dyDescent="0.35">
      <c r="A76" t="s">
        <v>83</v>
      </c>
      <c r="B76" t="s">
        <v>287</v>
      </c>
      <c r="C76">
        <v>1074</v>
      </c>
      <c r="D76" t="s">
        <v>163</v>
      </c>
      <c r="E76" t="s">
        <v>170</v>
      </c>
      <c r="F76" t="s">
        <v>172</v>
      </c>
      <c r="G76" s="13">
        <v>41243</v>
      </c>
      <c r="H76" s="16">
        <v>42526</v>
      </c>
      <c r="K76" t="s">
        <v>211</v>
      </c>
      <c r="L76" s="15">
        <f>IF(Table1_2[[#This Row],[Salary]]="N/A",AVERAGEIF(Table1_2[Department],Table1_2[[#This Row],[Department]],Table1_2[Salary]),Table1_2[[#This Row],[Salary]])</f>
        <v>41243</v>
      </c>
      <c r="M76" s="16">
        <f>IF(Table1_2[[#This Row],[Date of Joining]]="",AVERAGEIF(Table1_2[Department],Table1_2[[#This Row],[Department]],Table1_2[Date of Joining]),Table1_2[[#This Row],[Date of Joining]])</f>
        <v>42526</v>
      </c>
      <c r="N76">
        <f>IF(Table1_2[[#This Row],[Performance Rating]]="",AVERAGEIF(Table1_2[Department],Table1_2[[#This Row],[Department]],Table1_2[Performance Rating]),Table1_2[[#This Row],[Performance Rating]])</f>
        <v>3.1086956521739131</v>
      </c>
      <c r="O76">
        <f>ROUND(Table1_2[[#This Row],[Performance Rating2]],0)</f>
        <v>3</v>
      </c>
      <c r="P76" t="s">
        <v>180</v>
      </c>
      <c r="S76">
        <f>ROUND(VALUE(Table1_2[[#This Row],[Salary2]]),0)</f>
        <v>41243</v>
      </c>
      <c r="T76">
        <f>VALUE(Table1_2[[#This Row],[Performance Rating22]])</f>
        <v>3</v>
      </c>
    </row>
    <row r="77" spans="1:20" x14ac:dyDescent="0.35">
      <c r="A77" t="s">
        <v>84</v>
      </c>
      <c r="B77" t="s">
        <v>287</v>
      </c>
      <c r="C77">
        <v>1075</v>
      </c>
      <c r="D77" t="s">
        <v>178</v>
      </c>
      <c r="E77" t="s">
        <v>168</v>
      </c>
      <c r="F77" t="s">
        <v>174</v>
      </c>
      <c r="G77" s="13">
        <v>96142</v>
      </c>
      <c r="H77" s="16">
        <v>42533</v>
      </c>
      <c r="I77">
        <v>1</v>
      </c>
      <c r="J77" t="s">
        <v>179</v>
      </c>
      <c r="K77" t="s">
        <v>242</v>
      </c>
      <c r="L77" s="15">
        <f>IF(Table1_2[[#This Row],[Salary]]="N/A",AVERAGEIF(Table1_2[Department],Table1_2[[#This Row],[Department]],Table1_2[Salary]),Table1_2[[#This Row],[Salary]])</f>
        <v>96142</v>
      </c>
      <c r="M77" s="16">
        <f>IF(Table1_2[[#This Row],[Date of Joining]]="",AVERAGEIF(Table1_2[Department],Table1_2[[#This Row],[Department]],Table1_2[Date of Joining]),Table1_2[[#This Row],[Date of Joining]])</f>
        <v>42533</v>
      </c>
      <c r="N77">
        <f>IF(Table1_2[[#This Row],[Performance Rating]]="",AVERAGEIF(Table1_2[Department],Table1_2[[#This Row],[Department]],Table1_2[Performance Rating]),Table1_2[[#This Row],[Performance Rating]])</f>
        <v>1</v>
      </c>
      <c r="O77">
        <f>ROUND(Table1_2[[#This Row],[Performance Rating2]],0)</f>
        <v>1</v>
      </c>
      <c r="P77" t="s">
        <v>179</v>
      </c>
      <c r="S77">
        <f>ROUND(VALUE(Table1_2[[#This Row],[Salary2]]),0)</f>
        <v>96142</v>
      </c>
      <c r="T77">
        <f>VALUE(Table1_2[[#This Row],[Performance Rating22]])</f>
        <v>1</v>
      </c>
    </row>
    <row r="78" spans="1:20" x14ac:dyDescent="0.35">
      <c r="A78" t="s">
        <v>85</v>
      </c>
      <c r="B78" t="s">
        <v>287</v>
      </c>
      <c r="C78">
        <v>1076</v>
      </c>
      <c r="D78" t="s">
        <v>159</v>
      </c>
      <c r="E78" t="s">
        <v>169</v>
      </c>
      <c r="F78" t="s">
        <v>174</v>
      </c>
      <c r="G78" s="13">
        <v>94301</v>
      </c>
      <c r="H78" s="16">
        <v>42540</v>
      </c>
      <c r="I78">
        <v>1</v>
      </c>
      <c r="J78" t="s">
        <v>180</v>
      </c>
      <c r="K78" t="s">
        <v>223</v>
      </c>
      <c r="L78" s="15">
        <f>IF(Table1_2[[#This Row],[Salary]]="N/A",AVERAGEIF(Table1_2[Department],Table1_2[[#This Row],[Department]],Table1_2[Salary]),Table1_2[[#This Row],[Salary]])</f>
        <v>94301</v>
      </c>
      <c r="M78" s="16">
        <f>IF(Table1_2[[#This Row],[Date of Joining]]="",AVERAGEIF(Table1_2[Department],Table1_2[[#This Row],[Department]],Table1_2[Date of Joining]),Table1_2[[#This Row],[Date of Joining]])</f>
        <v>42540</v>
      </c>
      <c r="N78">
        <f>IF(Table1_2[[#This Row],[Performance Rating]]="",AVERAGEIF(Table1_2[Department],Table1_2[[#This Row],[Department]],Table1_2[Performance Rating]),Table1_2[[#This Row],[Performance Rating]])</f>
        <v>1</v>
      </c>
      <c r="O78">
        <f>ROUND(Table1_2[[#This Row],[Performance Rating2]],0)</f>
        <v>1</v>
      </c>
      <c r="P78" t="s">
        <v>180</v>
      </c>
      <c r="S78">
        <f>ROUND(VALUE(Table1_2[[#This Row],[Salary2]]),0)</f>
        <v>94301</v>
      </c>
      <c r="T78">
        <f>VALUE(Table1_2[[#This Row],[Performance Rating22]])</f>
        <v>1</v>
      </c>
    </row>
    <row r="79" spans="1:20" x14ac:dyDescent="0.35">
      <c r="A79" t="s">
        <v>86</v>
      </c>
      <c r="B79" t="s">
        <v>287</v>
      </c>
      <c r="C79">
        <v>1077</v>
      </c>
      <c r="D79" t="s">
        <v>162</v>
      </c>
      <c r="E79" t="s">
        <v>170</v>
      </c>
      <c r="F79" t="s">
        <v>175</v>
      </c>
      <c r="G79" s="13">
        <v>69166</v>
      </c>
      <c r="H79" s="16">
        <v>42547</v>
      </c>
      <c r="I79">
        <v>1</v>
      </c>
      <c r="J79" t="s">
        <v>181</v>
      </c>
      <c r="K79" t="s">
        <v>243</v>
      </c>
      <c r="L79" s="15">
        <f>IF(Table1_2[[#This Row],[Salary]]="N/A",AVERAGEIF(Table1_2[Department],Table1_2[[#This Row],[Department]],Table1_2[Salary]),Table1_2[[#This Row],[Salary]])</f>
        <v>69166</v>
      </c>
      <c r="M79" s="16">
        <f>IF(Table1_2[[#This Row],[Date of Joining]]="",AVERAGEIF(Table1_2[Department],Table1_2[[#This Row],[Department]],Table1_2[Date of Joining]),Table1_2[[#This Row],[Date of Joining]])</f>
        <v>42547</v>
      </c>
      <c r="N79">
        <f>IF(Table1_2[[#This Row],[Performance Rating]]="",AVERAGEIF(Table1_2[Department],Table1_2[[#This Row],[Department]],Table1_2[Performance Rating]),Table1_2[[#This Row],[Performance Rating]])</f>
        <v>1</v>
      </c>
      <c r="O79">
        <f>ROUND(Table1_2[[#This Row],[Performance Rating2]],0)</f>
        <v>1</v>
      </c>
      <c r="P79" t="s">
        <v>181</v>
      </c>
      <c r="S79">
        <f>ROUND(VALUE(Table1_2[[#This Row],[Salary2]]),0)</f>
        <v>69166</v>
      </c>
      <c r="T79">
        <f>VALUE(Table1_2[[#This Row],[Performance Rating22]])</f>
        <v>1</v>
      </c>
    </row>
    <row r="80" spans="1:20" x14ac:dyDescent="0.35">
      <c r="A80" t="s">
        <v>87</v>
      </c>
      <c r="B80" t="s">
        <v>287</v>
      </c>
      <c r="C80">
        <v>1078</v>
      </c>
      <c r="D80" t="s">
        <v>163</v>
      </c>
      <c r="E80" t="s">
        <v>170</v>
      </c>
      <c r="F80" t="s">
        <v>175</v>
      </c>
      <c r="G80" s="13">
        <v>78245</v>
      </c>
      <c r="H80" s="16">
        <v>42554</v>
      </c>
      <c r="I80">
        <v>2</v>
      </c>
      <c r="K80" t="s">
        <v>244</v>
      </c>
      <c r="L80" s="15">
        <f>IF(Table1_2[[#This Row],[Salary]]="N/A",AVERAGEIF(Table1_2[Department],Table1_2[[#This Row],[Department]],Table1_2[Salary]),Table1_2[[#This Row],[Salary]])</f>
        <v>78245</v>
      </c>
      <c r="M80" s="16">
        <f>IF(Table1_2[[#This Row],[Date of Joining]]="",AVERAGEIF(Table1_2[Department],Table1_2[[#This Row],[Department]],Table1_2[Date of Joining]),Table1_2[[#This Row],[Date of Joining]])</f>
        <v>42554</v>
      </c>
      <c r="N80">
        <f>IF(Table1_2[[#This Row],[Performance Rating]]="",AVERAGEIF(Table1_2[Department],Table1_2[[#This Row],[Department]],Table1_2[Performance Rating]),Table1_2[[#This Row],[Performance Rating]])</f>
        <v>2</v>
      </c>
      <c r="O80">
        <f>ROUND(Table1_2[[#This Row],[Performance Rating2]],0)</f>
        <v>2</v>
      </c>
      <c r="P80" t="s">
        <v>180</v>
      </c>
      <c r="S80">
        <f>ROUND(VALUE(Table1_2[[#This Row],[Salary2]]),0)</f>
        <v>78245</v>
      </c>
      <c r="T80">
        <f>VALUE(Table1_2[[#This Row],[Performance Rating22]])</f>
        <v>2</v>
      </c>
    </row>
    <row r="81" spans="1:20" x14ac:dyDescent="0.35">
      <c r="A81" t="s">
        <v>88</v>
      </c>
      <c r="B81" t="s">
        <v>287</v>
      </c>
      <c r="C81">
        <v>1079</v>
      </c>
      <c r="D81" t="s">
        <v>164</v>
      </c>
      <c r="E81" t="s">
        <v>168</v>
      </c>
      <c r="F81" t="s">
        <v>173</v>
      </c>
      <c r="G81" s="13">
        <v>66079</v>
      </c>
      <c r="H81" s="16">
        <v>42561</v>
      </c>
      <c r="I81">
        <v>2</v>
      </c>
      <c r="J81" t="s">
        <v>179</v>
      </c>
      <c r="K81" t="s">
        <v>245</v>
      </c>
      <c r="L81" s="15">
        <f>IF(Table1_2[[#This Row],[Salary]]="N/A",AVERAGEIF(Table1_2[Department],Table1_2[[#This Row],[Department]],Table1_2[Salary]),Table1_2[[#This Row],[Salary]])</f>
        <v>66079</v>
      </c>
      <c r="M81" s="16">
        <f>IF(Table1_2[[#This Row],[Date of Joining]]="",AVERAGEIF(Table1_2[Department],Table1_2[[#This Row],[Department]],Table1_2[Date of Joining]),Table1_2[[#This Row],[Date of Joining]])</f>
        <v>42561</v>
      </c>
      <c r="N81">
        <f>IF(Table1_2[[#This Row],[Performance Rating]]="",AVERAGEIF(Table1_2[Department],Table1_2[[#This Row],[Department]],Table1_2[Performance Rating]),Table1_2[[#This Row],[Performance Rating]])</f>
        <v>2</v>
      </c>
      <c r="O81">
        <f>ROUND(Table1_2[[#This Row],[Performance Rating2]],0)</f>
        <v>2</v>
      </c>
      <c r="P81" t="s">
        <v>179</v>
      </c>
      <c r="S81">
        <f>ROUND(VALUE(Table1_2[[#This Row],[Salary2]]),0)</f>
        <v>66079</v>
      </c>
      <c r="T81">
        <f>VALUE(Table1_2[[#This Row],[Performance Rating22]])</f>
        <v>2</v>
      </c>
    </row>
    <row r="82" spans="1:20" x14ac:dyDescent="0.35">
      <c r="A82" t="s">
        <v>89</v>
      </c>
      <c r="B82" t="s">
        <v>287</v>
      </c>
      <c r="C82">
        <v>1080</v>
      </c>
      <c r="D82" t="s">
        <v>159</v>
      </c>
      <c r="E82" t="s">
        <v>170</v>
      </c>
      <c r="F82" t="s">
        <v>174</v>
      </c>
      <c r="G82" s="13" t="s">
        <v>177</v>
      </c>
      <c r="H82" s="16"/>
      <c r="K82" t="s">
        <v>208</v>
      </c>
      <c r="L82" s="15">
        <f>IF(Table1_2[[#This Row],[Salary]]="N/A",AVERAGEIF(Table1_2[Department],Table1_2[[#This Row],[Department]],Table1_2[Salary]),Table1_2[[#This Row],[Salary]])</f>
        <v>65071.98</v>
      </c>
      <c r="M82" s="16">
        <f>IF(Table1_2[[#This Row],[Date of Joining]]="",AVERAGEIF(Table1_2[Department],Table1_2[[#This Row],[Department]],Table1_2[Date of Joining]),Table1_2[[#This Row],[Date of Joining]])</f>
        <v>42590</v>
      </c>
      <c r="N82">
        <f>IF(Table1_2[[#This Row],[Performance Rating]]="",AVERAGEIF(Table1_2[Department],Table1_2[[#This Row],[Department]],Table1_2[Performance Rating]),Table1_2[[#This Row],[Performance Rating]])</f>
        <v>3.1086956521739131</v>
      </c>
      <c r="O82">
        <f>ROUND(Table1_2[[#This Row],[Performance Rating2]],0)</f>
        <v>3</v>
      </c>
      <c r="P82" t="s">
        <v>180</v>
      </c>
      <c r="S82">
        <f>ROUND(VALUE(Table1_2[[#This Row],[Salary2]]),0)</f>
        <v>65072</v>
      </c>
      <c r="T82">
        <f>VALUE(Table1_2[[#This Row],[Performance Rating22]])</f>
        <v>3</v>
      </c>
    </row>
    <row r="83" spans="1:20" x14ac:dyDescent="0.35">
      <c r="A83" t="s">
        <v>90</v>
      </c>
      <c r="B83" t="s">
        <v>287</v>
      </c>
      <c r="C83">
        <v>1081</v>
      </c>
      <c r="D83" t="s">
        <v>162</v>
      </c>
      <c r="E83" t="s">
        <v>168</v>
      </c>
      <c r="F83" t="s">
        <v>173</v>
      </c>
      <c r="G83" s="13">
        <v>95621</v>
      </c>
      <c r="H83" s="16">
        <v>42575</v>
      </c>
      <c r="I83">
        <v>3</v>
      </c>
      <c r="J83" t="s">
        <v>181</v>
      </c>
      <c r="K83" t="s">
        <v>246</v>
      </c>
      <c r="L83" s="15">
        <f>IF(Table1_2[[#This Row],[Salary]]="N/A",AVERAGEIF(Table1_2[Department],Table1_2[[#This Row],[Department]],Table1_2[Salary]),Table1_2[[#This Row],[Salary]])</f>
        <v>95621</v>
      </c>
      <c r="M83" s="16">
        <f>IF(Table1_2[[#This Row],[Date of Joining]]="",AVERAGEIF(Table1_2[Department],Table1_2[[#This Row],[Department]],Table1_2[Date of Joining]),Table1_2[[#This Row],[Date of Joining]])</f>
        <v>42575</v>
      </c>
      <c r="N83">
        <f>IF(Table1_2[[#This Row],[Performance Rating]]="",AVERAGEIF(Table1_2[Department],Table1_2[[#This Row],[Department]],Table1_2[Performance Rating]),Table1_2[[#This Row],[Performance Rating]])</f>
        <v>3</v>
      </c>
      <c r="O83">
        <f>ROUND(Table1_2[[#This Row],[Performance Rating2]],0)</f>
        <v>3</v>
      </c>
      <c r="P83" t="s">
        <v>181</v>
      </c>
      <c r="S83">
        <f>ROUND(VALUE(Table1_2[[#This Row],[Salary2]]),0)</f>
        <v>95621</v>
      </c>
      <c r="T83">
        <f>VALUE(Table1_2[[#This Row],[Performance Rating22]])</f>
        <v>3</v>
      </c>
    </row>
    <row r="84" spans="1:20" x14ac:dyDescent="0.35">
      <c r="A84" t="s">
        <v>91</v>
      </c>
      <c r="B84" t="s">
        <v>287</v>
      </c>
      <c r="C84">
        <v>1082</v>
      </c>
      <c r="D84" t="s">
        <v>159</v>
      </c>
      <c r="E84" t="s">
        <v>169</v>
      </c>
      <c r="F84" t="s">
        <v>175</v>
      </c>
      <c r="G84" s="13">
        <v>42262</v>
      </c>
      <c r="H84" s="16">
        <v>42582</v>
      </c>
      <c r="I84">
        <v>1</v>
      </c>
      <c r="K84" t="s">
        <v>247</v>
      </c>
      <c r="L84" s="15">
        <f>IF(Table1_2[[#This Row],[Salary]]="N/A",AVERAGEIF(Table1_2[Department],Table1_2[[#This Row],[Department]],Table1_2[Salary]),Table1_2[[#This Row],[Salary]])</f>
        <v>42262</v>
      </c>
      <c r="M84" s="16">
        <f>IF(Table1_2[[#This Row],[Date of Joining]]="",AVERAGEIF(Table1_2[Department],Table1_2[[#This Row],[Department]],Table1_2[Date of Joining]),Table1_2[[#This Row],[Date of Joining]])</f>
        <v>42582</v>
      </c>
      <c r="N84">
        <f>IF(Table1_2[[#This Row],[Performance Rating]]="",AVERAGEIF(Table1_2[Department],Table1_2[[#This Row],[Department]],Table1_2[Performance Rating]),Table1_2[[#This Row],[Performance Rating]])</f>
        <v>1</v>
      </c>
      <c r="O84">
        <f>ROUND(Table1_2[[#This Row],[Performance Rating2]],0)</f>
        <v>1</v>
      </c>
      <c r="P84" t="s">
        <v>180</v>
      </c>
      <c r="S84">
        <f>ROUND(VALUE(Table1_2[[#This Row],[Salary2]]),0)</f>
        <v>42262</v>
      </c>
      <c r="T84">
        <f>VALUE(Table1_2[[#This Row],[Performance Rating22]])</f>
        <v>1</v>
      </c>
    </row>
    <row r="85" spans="1:20" x14ac:dyDescent="0.35">
      <c r="A85" t="s">
        <v>92</v>
      </c>
      <c r="B85" t="s">
        <v>287</v>
      </c>
      <c r="C85">
        <v>1083</v>
      </c>
      <c r="D85" t="s">
        <v>163</v>
      </c>
      <c r="E85" t="s">
        <v>168</v>
      </c>
      <c r="F85" t="s">
        <v>174</v>
      </c>
      <c r="G85" s="13">
        <v>99621</v>
      </c>
      <c r="H85" s="16">
        <v>42589</v>
      </c>
      <c r="J85" t="s">
        <v>179</v>
      </c>
      <c r="K85" t="s">
        <v>248</v>
      </c>
      <c r="L85" s="15">
        <f>IF(Table1_2[[#This Row],[Salary]]="N/A",AVERAGEIF(Table1_2[Department],Table1_2[[#This Row],[Department]],Table1_2[Salary]),Table1_2[[#This Row],[Salary]])</f>
        <v>99621</v>
      </c>
      <c r="M85" s="16">
        <f>IF(Table1_2[[#This Row],[Date of Joining]]="",AVERAGEIF(Table1_2[Department],Table1_2[[#This Row],[Department]],Table1_2[Date of Joining]),Table1_2[[#This Row],[Date of Joining]])</f>
        <v>42589</v>
      </c>
      <c r="N85">
        <f>IF(Table1_2[[#This Row],[Performance Rating]]="",AVERAGEIF(Table1_2[Department],Table1_2[[#This Row],[Department]],Table1_2[Performance Rating]),Table1_2[[#This Row],[Performance Rating]])</f>
        <v>2.7272727272727271</v>
      </c>
      <c r="O85">
        <f>ROUND(Table1_2[[#This Row],[Performance Rating2]],0)</f>
        <v>3</v>
      </c>
      <c r="P85" t="s">
        <v>179</v>
      </c>
      <c r="S85">
        <f>ROUND(VALUE(Table1_2[[#This Row],[Salary2]]),0)</f>
        <v>99621</v>
      </c>
      <c r="T85">
        <f>VALUE(Table1_2[[#This Row],[Performance Rating22]])</f>
        <v>3</v>
      </c>
    </row>
    <row r="86" spans="1:20" x14ac:dyDescent="0.35">
      <c r="A86" t="s">
        <v>93</v>
      </c>
      <c r="B86" t="s">
        <v>287</v>
      </c>
      <c r="C86">
        <v>1084</v>
      </c>
      <c r="D86" t="s">
        <v>161</v>
      </c>
      <c r="E86" t="s">
        <v>170</v>
      </c>
      <c r="F86" t="s">
        <v>174</v>
      </c>
      <c r="G86" s="13">
        <v>44682</v>
      </c>
      <c r="H86" s="16">
        <v>42596</v>
      </c>
      <c r="I86">
        <v>4</v>
      </c>
      <c r="J86" t="s">
        <v>181</v>
      </c>
      <c r="K86" t="s">
        <v>220</v>
      </c>
      <c r="L86" s="15">
        <f>IF(Table1_2[[#This Row],[Salary]]="N/A",AVERAGEIF(Table1_2[Department],Table1_2[[#This Row],[Department]],Table1_2[Salary]),Table1_2[[#This Row],[Salary]])</f>
        <v>44682</v>
      </c>
      <c r="M86" s="16">
        <f>IF(Table1_2[[#This Row],[Date of Joining]]="",AVERAGEIF(Table1_2[Department],Table1_2[[#This Row],[Department]],Table1_2[Date of Joining]),Table1_2[[#This Row],[Date of Joining]])</f>
        <v>42596</v>
      </c>
      <c r="N86">
        <f>IF(Table1_2[[#This Row],[Performance Rating]]="",AVERAGEIF(Table1_2[Department],Table1_2[[#This Row],[Department]],Table1_2[Performance Rating]),Table1_2[[#This Row],[Performance Rating]])</f>
        <v>4</v>
      </c>
      <c r="O86">
        <f>ROUND(Table1_2[[#This Row],[Performance Rating2]],0)</f>
        <v>4</v>
      </c>
      <c r="P86" t="s">
        <v>181</v>
      </c>
      <c r="S86">
        <f>ROUND(VALUE(Table1_2[[#This Row],[Salary2]]),0)</f>
        <v>44682</v>
      </c>
      <c r="T86">
        <f>VALUE(Table1_2[[#This Row],[Performance Rating22]])</f>
        <v>4</v>
      </c>
    </row>
    <row r="87" spans="1:20" x14ac:dyDescent="0.35">
      <c r="A87" t="s">
        <v>94</v>
      </c>
      <c r="B87" t="s">
        <v>287</v>
      </c>
      <c r="C87">
        <v>1085</v>
      </c>
      <c r="D87" t="s">
        <v>164</v>
      </c>
      <c r="E87" t="s">
        <v>166</v>
      </c>
      <c r="F87" t="s">
        <v>174</v>
      </c>
      <c r="G87" s="13">
        <v>35163</v>
      </c>
      <c r="H87" s="16">
        <v>42603</v>
      </c>
      <c r="I87">
        <v>5</v>
      </c>
      <c r="J87" t="s">
        <v>179</v>
      </c>
      <c r="K87" t="s">
        <v>249</v>
      </c>
      <c r="L87" s="15">
        <f>IF(Table1_2[[#This Row],[Salary]]="N/A",AVERAGEIF(Table1_2[Department],Table1_2[[#This Row],[Department]],Table1_2[Salary]),Table1_2[[#This Row],[Salary]])</f>
        <v>35163</v>
      </c>
      <c r="M87" s="16">
        <f>IF(Table1_2[[#This Row],[Date of Joining]]="",AVERAGEIF(Table1_2[Department],Table1_2[[#This Row],[Department]],Table1_2[Date of Joining]),Table1_2[[#This Row],[Date of Joining]])</f>
        <v>42603</v>
      </c>
      <c r="N87">
        <f>IF(Table1_2[[#This Row],[Performance Rating]]="",AVERAGEIF(Table1_2[Department],Table1_2[[#This Row],[Department]],Table1_2[Performance Rating]),Table1_2[[#This Row],[Performance Rating]])</f>
        <v>5</v>
      </c>
      <c r="O87">
        <f>ROUND(Table1_2[[#This Row],[Performance Rating2]],0)</f>
        <v>5</v>
      </c>
      <c r="P87" t="s">
        <v>179</v>
      </c>
      <c r="S87">
        <f>ROUND(VALUE(Table1_2[[#This Row],[Salary2]]),0)</f>
        <v>35163</v>
      </c>
      <c r="T87">
        <f>VALUE(Table1_2[[#This Row],[Performance Rating22]])</f>
        <v>5</v>
      </c>
    </row>
    <row r="88" spans="1:20" x14ac:dyDescent="0.35">
      <c r="A88" t="s">
        <v>95</v>
      </c>
      <c r="B88" t="s">
        <v>287</v>
      </c>
      <c r="C88">
        <v>1086</v>
      </c>
      <c r="D88" t="s">
        <v>164</v>
      </c>
      <c r="E88" t="s">
        <v>169</v>
      </c>
      <c r="F88" t="s">
        <v>174</v>
      </c>
      <c r="G88" s="13">
        <v>33483</v>
      </c>
      <c r="H88" s="16">
        <v>42610</v>
      </c>
      <c r="I88">
        <v>4</v>
      </c>
      <c r="J88" t="s">
        <v>180</v>
      </c>
      <c r="K88" t="s">
        <v>250</v>
      </c>
      <c r="L88" s="15">
        <f>IF(Table1_2[[#This Row],[Salary]]="N/A",AVERAGEIF(Table1_2[Department],Table1_2[[#This Row],[Department]],Table1_2[Salary]),Table1_2[[#This Row],[Salary]])</f>
        <v>33483</v>
      </c>
      <c r="M88" s="16">
        <f>IF(Table1_2[[#This Row],[Date of Joining]]="",AVERAGEIF(Table1_2[Department],Table1_2[[#This Row],[Department]],Table1_2[Date of Joining]),Table1_2[[#This Row],[Date of Joining]])</f>
        <v>42610</v>
      </c>
      <c r="N88">
        <f>IF(Table1_2[[#This Row],[Performance Rating]]="",AVERAGEIF(Table1_2[Department],Table1_2[[#This Row],[Department]],Table1_2[Performance Rating]),Table1_2[[#This Row],[Performance Rating]])</f>
        <v>4</v>
      </c>
      <c r="O88">
        <f>ROUND(Table1_2[[#This Row],[Performance Rating2]],0)</f>
        <v>4</v>
      </c>
      <c r="P88" t="s">
        <v>180</v>
      </c>
      <c r="S88">
        <f>ROUND(VALUE(Table1_2[[#This Row],[Salary2]]),0)</f>
        <v>33483</v>
      </c>
      <c r="T88">
        <f>VALUE(Table1_2[[#This Row],[Performance Rating22]])</f>
        <v>4</v>
      </c>
    </row>
    <row r="89" spans="1:20" x14ac:dyDescent="0.35">
      <c r="A89" t="s">
        <v>96</v>
      </c>
      <c r="B89" t="s">
        <v>287</v>
      </c>
      <c r="C89">
        <v>1087</v>
      </c>
      <c r="D89" t="s">
        <v>163</v>
      </c>
      <c r="E89" t="s">
        <v>167</v>
      </c>
      <c r="F89" t="s">
        <v>172</v>
      </c>
      <c r="G89" s="13">
        <v>55303</v>
      </c>
      <c r="H89" s="16">
        <v>42617</v>
      </c>
      <c r="I89">
        <v>4</v>
      </c>
      <c r="J89" t="s">
        <v>180</v>
      </c>
      <c r="K89" t="s">
        <v>203</v>
      </c>
      <c r="L89" s="15">
        <f>IF(Table1_2[[#This Row],[Salary]]="N/A",AVERAGEIF(Table1_2[Department],Table1_2[[#This Row],[Department]],Table1_2[Salary]),Table1_2[[#This Row],[Salary]])</f>
        <v>55303</v>
      </c>
      <c r="M89" s="16">
        <f>IF(Table1_2[[#This Row],[Date of Joining]]="",AVERAGEIF(Table1_2[Department],Table1_2[[#This Row],[Department]],Table1_2[Date of Joining]),Table1_2[[#This Row],[Date of Joining]])</f>
        <v>42617</v>
      </c>
      <c r="N89">
        <f>IF(Table1_2[[#This Row],[Performance Rating]]="",AVERAGEIF(Table1_2[Department],Table1_2[[#This Row],[Department]],Table1_2[Performance Rating]),Table1_2[[#This Row],[Performance Rating]])</f>
        <v>4</v>
      </c>
      <c r="O89">
        <f>ROUND(Table1_2[[#This Row],[Performance Rating2]],0)</f>
        <v>4</v>
      </c>
      <c r="P89" t="s">
        <v>180</v>
      </c>
      <c r="S89">
        <f>ROUND(VALUE(Table1_2[[#This Row],[Salary2]]),0)</f>
        <v>55303</v>
      </c>
      <c r="T89">
        <f>VALUE(Table1_2[[#This Row],[Performance Rating22]])</f>
        <v>4</v>
      </c>
    </row>
    <row r="90" spans="1:20" x14ac:dyDescent="0.35">
      <c r="A90" t="s">
        <v>97</v>
      </c>
      <c r="B90" t="s">
        <v>287</v>
      </c>
      <c r="C90">
        <v>1088</v>
      </c>
      <c r="D90" t="s">
        <v>164</v>
      </c>
      <c r="E90" t="s">
        <v>169</v>
      </c>
      <c r="F90" t="s">
        <v>174</v>
      </c>
      <c r="G90" s="13">
        <v>63434</v>
      </c>
      <c r="H90" s="16">
        <v>42624</v>
      </c>
      <c r="I90">
        <v>3</v>
      </c>
      <c r="K90" t="s">
        <v>251</v>
      </c>
      <c r="L90" s="15">
        <f>IF(Table1_2[[#This Row],[Salary]]="N/A",AVERAGEIF(Table1_2[Department],Table1_2[[#This Row],[Department]],Table1_2[Salary]),Table1_2[[#This Row],[Salary]])</f>
        <v>63434</v>
      </c>
      <c r="M90" s="16">
        <f>IF(Table1_2[[#This Row],[Date of Joining]]="",AVERAGEIF(Table1_2[Department],Table1_2[[#This Row],[Department]],Table1_2[Date of Joining]),Table1_2[[#This Row],[Date of Joining]])</f>
        <v>42624</v>
      </c>
      <c r="N90">
        <f>IF(Table1_2[[#This Row],[Performance Rating]]="",AVERAGEIF(Table1_2[Department],Table1_2[[#This Row],[Department]],Table1_2[Performance Rating]),Table1_2[[#This Row],[Performance Rating]])</f>
        <v>3</v>
      </c>
      <c r="O90">
        <f>ROUND(Table1_2[[#This Row],[Performance Rating2]],0)</f>
        <v>3</v>
      </c>
      <c r="P90" t="s">
        <v>180</v>
      </c>
      <c r="S90">
        <f>ROUND(VALUE(Table1_2[[#This Row],[Salary2]]),0)</f>
        <v>63434</v>
      </c>
      <c r="T90">
        <f>VALUE(Table1_2[[#This Row],[Performance Rating22]])</f>
        <v>3</v>
      </c>
    </row>
    <row r="91" spans="1:20" x14ac:dyDescent="0.35">
      <c r="A91" t="s">
        <v>98</v>
      </c>
      <c r="B91" t="s">
        <v>287</v>
      </c>
      <c r="C91">
        <v>1089</v>
      </c>
      <c r="D91" t="s">
        <v>162</v>
      </c>
      <c r="E91" t="s">
        <v>170</v>
      </c>
      <c r="F91" t="s">
        <v>176</v>
      </c>
      <c r="G91" s="13">
        <v>38830</v>
      </c>
      <c r="H91" s="16">
        <v>42631</v>
      </c>
      <c r="I91">
        <v>3</v>
      </c>
      <c r="J91" t="s">
        <v>179</v>
      </c>
      <c r="K91" t="s">
        <v>203</v>
      </c>
      <c r="L91" s="15">
        <f>IF(Table1_2[[#This Row],[Salary]]="N/A",AVERAGEIF(Table1_2[Department],Table1_2[[#This Row],[Department]],Table1_2[Salary]),Table1_2[[#This Row],[Salary]])</f>
        <v>38830</v>
      </c>
      <c r="M91" s="16">
        <f>IF(Table1_2[[#This Row],[Date of Joining]]="",AVERAGEIF(Table1_2[Department],Table1_2[[#This Row],[Department]],Table1_2[Date of Joining]),Table1_2[[#This Row],[Date of Joining]])</f>
        <v>42631</v>
      </c>
      <c r="N91">
        <f>IF(Table1_2[[#This Row],[Performance Rating]]="",AVERAGEIF(Table1_2[Department],Table1_2[[#This Row],[Department]],Table1_2[Performance Rating]),Table1_2[[#This Row],[Performance Rating]])</f>
        <v>3</v>
      </c>
      <c r="O91">
        <f>ROUND(Table1_2[[#This Row],[Performance Rating2]],0)</f>
        <v>3</v>
      </c>
      <c r="P91" t="s">
        <v>179</v>
      </c>
      <c r="S91">
        <f>ROUND(VALUE(Table1_2[[#This Row],[Salary2]]),0)</f>
        <v>38830</v>
      </c>
      <c r="T91">
        <f>VALUE(Table1_2[[#This Row],[Performance Rating22]])</f>
        <v>3</v>
      </c>
    </row>
    <row r="92" spans="1:20" x14ac:dyDescent="0.35">
      <c r="A92" t="s">
        <v>99</v>
      </c>
      <c r="B92" t="s">
        <v>287</v>
      </c>
      <c r="C92">
        <v>1090</v>
      </c>
      <c r="D92" t="s">
        <v>178</v>
      </c>
      <c r="E92" t="s">
        <v>170</v>
      </c>
      <c r="F92" t="s">
        <v>175</v>
      </c>
      <c r="G92" s="13">
        <v>50741</v>
      </c>
      <c r="H92" s="16">
        <v>42638</v>
      </c>
      <c r="I92">
        <v>3</v>
      </c>
      <c r="J92" t="s">
        <v>178</v>
      </c>
      <c r="K92" t="s">
        <v>240</v>
      </c>
      <c r="L92" s="15">
        <f>IF(Table1_2[[#This Row],[Salary]]="N/A",AVERAGEIF(Table1_2[Department],Table1_2[[#This Row],[Department]],Table1_2[Salary]),Table1_2[[#This Row],[Salary]])</f>
        <v>50741</v>
      </c>
      <c r="M92" s="16">
        <f>IF(Table1_2[[#This Row],[Date of Joining]]="",AVERAGEIF(Table1_2[Department],Table1_2[[#This Row],[Department]],Table1_2[Date of Joining]),Table1_2[[#This Row],[Date of Joining]])</f>
        <v>42638</v>
      </c>
      <c r="N92">
        <f>IF(Table1_2[[#This Row],[Performance Rating]]="",AVERAGEIF(Table1_2[Department],Table1_2[[#This Row],[Department]],Table1_2[Performance Rating]),Table1_2[[#This Row],[Performance Rating]])</f>
        <v>3</v>
      </c>
      <c r="O92">
        <f>ROUND(Table1_2[[#This Row],[Performance Rating2]],0)</f>
        <v>3</v>
      </c>
      <c r="P92" t="s">
        <v>178</v>
      </c>
      <c r="S92">
        <f>ROUND(VALUE(Table1_2[[#This Row],[Salary2]]),0)</f>
        <v>50741</v>
      </c>
      <c r="T92">
        <f>VALUE(Table1_2[[#This Row],[Performance Rating22]])</f>
        <v>3</v>
      </c>
    </row>
    <row r="93" spans="1:20" x14ac:dyDescent="0.35">
      <c r="A93" t="s">
        <v>100</v>
      </c>
      <c r="B93" t="s">
        <v>287</v>
      </c>
      <c r="C93">
        <v>1091</v>
      </c>
      <c r="D93" t="s">
        <v>160</v>
      </c>
      <c r="E93" t="s">
        <v>167</v>
      </c>
      <c r="F93" t="s">
        <v>176</v>
      </c>
      <c r="G93" s="13">
        <v>69420</v>
      </c>
      <c r="H93" s="16">
        <v>42645</v>
      </c>
      <c r="I93">
        <v>1</v>
      </c>
      <c r="J93" t="s">
        <v>180</v>
      </c>
      <c r="K93" t="s">
        <v>225</v>
      </c>
      <c r="L93" s="15">
        <f>IF(Table1_2[[#This Row],[Salary]]="N/A",AVERAGEIF(Table1_2[Department],Table1_2[[#This Row],[Department]],Table1_2[Salary]),Table1_2[[#This Row],[Salary]])</f>
        <v>69420</v>
      </c>
      <c r="M93" s="16">
        <f>IF(Table1_2[[#This Row],[Date of Joining]]="",AVERAGEIF(Table1_2[Department],Table1_2[[#This Row],[Department]],Table1_2[Date of Joining]),Table1_2[[#This Row],[Date of Joining]])</f>
        <v>42645</v>
      </c>
      <c r="N93">
        <f>IF(Table1_2[[#This Row],[Performance Rating]]="",AVERAGEIF(Table1_2[Department],Table1_2[[#This Row],[Department]],Table1_2[Performance Rating]),Table1_2[[#This Row],[Performance Rating]])</f>
        <v>1</v>
      </c>
      <c r="O93">
        <f>ROUND(Table1_2[[#This Row],[Performance Rating2]],0)</f>
        <v>1</v>
      </c>
      <c r="P93" t="s">
        <v>180</v>
      </c>
      <c r="S93">
        <f>ROUND(VALUE(Table1_2[[#This Row],[Salary2]]),0)</f>
        <v>69420</v>
      </c>
      <c r="T93">
        <f>VALUE(Table1_2[[#This Row],[Performance Rating22]])</f>
        <v>1</v>
      </c>
    </row>
    <row r="94" spans="1:20" x14ac:dyDescent="0.35">
      <c r="A94" t="s">
        <v>101</v>
      </c>
      <c r="B94" t="s">
        <v>287</v>
      </c>
      <c r="C94">
        <v>1092</v>
      </c>
      <c r="D94" t="s">
        <v>162</v>
      </c>
      <c r="E94" t="s">
        <v>169</v>
      </c>
      <c r="F94" t="s">
        <v>174</v>
      </c>
      <c r="G94" s="13">
        <v>80588</v>
      </c>
      <c r="H94" s="16">
        <v>42652</v>
      </c>
      <c r="I94">
        <v>5</v>
      </c>
      <c r="J94" t="s">
        <v>180</v>
      </c>
      <c r="K94" t="s">
        <v>216</v>
      </c>
      <c r="L94" s="15">
        <f>IF(Table1_2[[#This Row],[Salary]]="N/A",AVERAGEIF(Table1_2[Department],Table1_2[[#This Row],[Department]],Table1_2[Salary]),Table1_2[[#This Row],[Salary]])</f>
        <v>80588</v>
      </c>
      <c r="M94" s="16">
        <f>IF(Table1_2[[#This Row],[Date of Joining]]="",AVERAGEIF(Table1_2[Department],Table1_2[[#This Row],[Department]],Table1_2[Date of Joining]),Table1_2[[#This Row],[Date of Joining]])</f>
        <v>42652</v>
      </c>
      <c r="N94">
        <f>IF(Table1_2[[#This Row],[Performance Rating]]="",AVERAGEIF(Table1_2[Department],Table1_2[[#This Row],[Department]],Table1_2[Performance Rating]),Table1_2[[#This Row],[Performance Rating]])</f>
        <v>5</v>
      </c>
      <c r="O94">
        <f>ROUND(Table1_2[[#This Row],[Performance Rating2]],0)</f>
        <v>5</v>
      </c>
      <c r="P94" t="s">
        <v>180</v>
      </c>
      <c r="S94">
        <f>ROUND(VALUE(Table1_2[[#This Row],[Salary2]]),0)</f>
        <v>80588</v>
      </c>
      <c r="T94">
        <f>VALUE(Table1_2[[#This Row],[Performance Rating22]])</f>
        <v>5</v>
      </c>
    </row>
    <row r="95" spans="1:20" x14ac:dyDescent="0.35">
      <c r="A95" t="s">
        <v>102</v>
      </c>
      <c r="B95" t="s">
        <v>287</v>
      </c>
      <c r="C95">
        <v>1093</v>
      </c>
      <c r="D95" t="s">
        <v>160</v>
      </c>
      <c r="E95" t="s">
        <v>170</v>
      </c>
      <c r="F95" t="s">
        <v>173</v>
      </c>
      <c r="G95" s="13">
        <v>76238</v>
      </c>
      <c r="H95" s="16">
        <v>42659</v>
      </c>
      <c r="I95">
        <v>4</v>
      </c>
      <c r="J95" t="s">
        <v>180</v>
      </c>
      <c r="K95" t="s">
        <v>252</v>
      </c>
      <c r="L95" s="15">
        <f>IF(Table1_2[[#This Row],[Salary]]="N/A",AVERAGEIF(Table1_2[Department],Table1_2[[#This Row],[Department]],Table1_2[Salary]),Table1_2[[#This Row],[Salary]])</f>
        <v>76238</v>
      </c>
      <c r="M95" s="16">
        <f>IF(Table1_2[[#This Row],[Date of Joining]]="",AVERAGEIF(Table1_2[Department],Table1_2[[#This Row],[Department]],Table1_2[Date of Joining]),Table1_2[[#This Row],[Date of Joining]])</f>
        <v>42659</v>
      </c>
      <c r="N95">
        <f>IF(Table1_2[[#This Row],[Performance Rating]]="",AVERAGEIF(Table1_2[Department],Table1_2[[#This Row],[Department]],Table1_2[Performance Rating]),Table1_2[[#This Row],[Performance Rating]])</f>
        <v>4</v>
      </c>
      <c r="O95">
        <f>ROUND(Table1_2[[#This Row],[Performance Rating2]],0)</f>
        <v>4</v>
      </c>
      <c r="P95" t="s">
        <v>180</v>
      </c>
      <c r="S95">
        <f>ROUND(VALUE(Table1_2[[#This Row],[Salary2]]),0)</f>
        <v>76238</v>
      </c>
      <c r="T95">
        <f>VALUE(Table1_2[[#This Row],[Performance Rating22]])</f>
        <v>4</v>
      </c>
    </row>
    <row r="96" spans="1:20" x14ac:dyDescent="0.35">
      <c r="A96" t="s">
        <v>103</v>
      </c>
      <c r="B96" t="s">
        <v>287</v>
      </c>
      <c r="C96">
        <v>1094</v>
      </c>
      <c r="D96" t="s">
        <v>165</v>
      </c>
      <c r="E96" t="s">
        <v>169</v>
      </c>
      <c r="F96" t="s">
        <v>174</v>
      </c>
      <c r="G96" s="13">
        <v>33264</v>
      </c>
      <c r="H96" s="16">
        <v>42666</v>
      </c>
      <c r="J96" t="s">
        <v>181</v>
      </c>
      <c r="K96" t="s">
        <v>253</v>
      </c>
      <c r="L96" s="15">
        <f>IF(Table1_2[[#This Row],[Salary]]="N/A",AVERAGEIF(Table1_2[Department],Table1_2[[#This Row],[Department]],Table1_2[Salary]),Table1_2[[#This Row],[Salary]])</f>
        <v>33264</v>
      </c>
      <c r="M96" s="16">
        <f>IF(Table1_2[[#This Row],[Date of Joining]]="",AVERAGEIF(Table1_2[Department],Table1_2[[#This Row],[Department]],Table1_2[Date of Joining]),Table1_2[[#This Row],[Date of Joining]])</f>
        <v>42666</v>
      </c>
      <c r="N96">
        <f>IF(Table1_2[[#This Row],[Performance Rating]]="",AVERAGEIF(Table1_2[Department],Table1_2[[#This Row],[Department]],Table1_2[Performance Rating]),Table1_2[[#This Row],[Performance Rating]])</f>
        <v>2.9444444444444446</v>
      </c>
      <c r="O96">
        <f>ROUND(Table1_2[[#This Row],[Performance Rating2]],0)</f>
        <v>3</v>
      </c>
      <c r="P96" t="s">
        <v>181</v>
      </c>
      <c r="S96">
        <f>ROUND(VALUE(Table1_2[[#This Row],[Salary2]]),0)</f>
        <v>33264</v>
      </c>
      <c r="T96">
        <f>VALUE(Table1_2[[#This Row],[Performance Rating22]])</f>
        <v>3</v>
      </c>
    </row>
    <row r="97" spans="1:20" x14ac:dyDescent="0.35">
      <c r="A97" t="s">
        <v>104</v>
      </c>
      <c r="B97" t="s">
        <v>287</v>
      </c>
      <c r="C97">
        <v>1095</v>
      </c>
      <c r="D97" t="s">
        <v>160</v>
      </c>
      <c r="E97" t="s">
        <v>166</v>
      </c>
      <c r="F97" t="s">
        <v>176</v>
      </c>
      <c r="G97" s="13">
        <v>96101</v>
      </c>
      <c r="H97" s="16">
        <v>42673</v>
      </c>
      <c r="J97" t="s">
        <v>179</v>
      </c>
      <c r="K97" t="s">
        <v>254</v>
      </c>
      <c r="L97" s="15">
        <f>IF(Table1_2[[#This Row],[Salary]]="N/A",AVERAGEIF(Table1_2[Department],Table1_2[[#This Row],[Department]],Table1_2[Salary]),Table1_2[[#This Row],[Salary]])</f>
        <v>96101</v>
      </c>
      <c r="M97" s="16">
        <f>IF(Table1_2[[#This Row],[Date of Joining]]="",AVERAGEIF(Table1_2[Department],Table1_2[[#This Row],[Department]],Table1_2[Date of Joining]),Table1_2[[#This Row],[Date of Joining]])</f>
        <v>42673</v>
      </c>
      <c r="N97">
        <f>IF(Table1_2[[#This Row],[Performance Rating]]="",AVERAGEIF(Table1_2[Department],Table1_2[[#This Row],[Department]],Table1_2[Performance Rating]),Table1_2[[#This Row],[Performance Rating]])</f>
        <v>2.5789473684210527</v>
      </c>
      <c r="O97">
        <f>ROUND(Table1_2[[#This Row],[Performance Rating2]],0)</f>
        <v>3</v>
      </c>
      <c r="P97" t="s">
        <v>179</v>
      </c>
      <c r="S97">
        <f>ROUND(VALUE(Table1_2[[#This Row],[Salary2]]),0)</f>
        <v>96101</v>
      </c>
      <c r="T97">
        <f>VALUE(Table1_2[[#This Row],[Performance Rating22]])</f>
        <v>3</v>
      </c>
    </row>
    <row r="98" spans="1:20" x14ac:dyDescent="0.35">
      <c r="A98" t="s">
        <v>105</v>
      </c>
      <c r="B98" t="s">
        <v>287</v>
      </c>
      <c r="C98">
        <v>1096</v>
      </c>
      <c r="D98" t="s">
        <v>162</v>
      </c>
      <c r="E98" t="s">
        <v>166</v>
      </c>
      <c r="F98" t="s">
        <v>173</v>
      </c>
      <c r="G98" s="13">
        <v>72939</v>
      </c>
      <c r="H98" s="16">
        <v>42680</v>
      </c>
      <c r="I98">
        <v>3</v>
      </c>
      <c r="K98" t="s">
        <v>255</v>
      </c>
      <c r="L98" s="15">
        <f>IF(Table1_2[[#This Row],[Salary]]="N/A",AVERAGEIF(Table1_2[Department],Table1_2[[#This Row],[Department]],Table1_2[Salary]),Table1_2[[#This Row],[Salary]])</f>
        <v>72939</v>
      </c>
      <c r="M98" s="16">
        <f>IF(Table1_2[[#This Row],[Date of Joining]]="",AVERAGEIF(Table1_2[Department],Table1_2[[#This Row],[Department]],Table1_2[Date of Joining]),Table1_2[[#This Row],[Date of Joining]])</f>
        <v>42680</v>
      </c>
      <c r="N98">
        <f>IF(Table1_2[[#This Row],[Performance Rating]]="",AVERAGEIF(Table1_2[Department],Table1_2[[#This Row],[Department]],Table1_2[Performance Rating]),Table1_2[[#This Row],[Performance Rating]])</f>
        <v>3</v>
      </c>
      <c r="O98">
        <f>ROUND(Table1_2[[#This Row],[Performance Rating2]],0)</f>
        <v>3</v>
      </c>
      <c r="P98" t="s">
        <v>180</v>
      </c>
      <c r="S98">
        <f>ROUND(VALUE(Table1_2[[#This Row],[Salary2]]),0)</f>
        <v>72939</v>
      </c>
      <c r="T98">
        <f>VALUE(Table1_2[[#This Row],[Performance Rating22]])</f>
        <v>3</v>
      </c>
    </row>
    <row r="99" spans="1:20" x14ac:dyDescent="0.35">
      <c r="A99" t="s">
        <v>106</v>
      </c>
      <c r="B99" t="s">
        <v>287</v>
      </c>
      <c r="C99">
        <v>1097</v>
      </c>
      <c r="D99" t="s">
        <v>163</v>
      </c>
      <c r="E99" t="s">
        <v>167</v>
      </c>
      <c r="F99" t="s">
        <v>172</v>
      </c>
      <c r="G99" s="13">
        <v>89333</v>
      </c>
      <c r="H99" s="16">
        <v>42687</v>
      </c>
      <c r="I99">
        <v>1</v>
      </c>
      <c r="J99" t="s">
        <v>180</v>
      </c>
      <c r="K99" t="s">
        <v>256</v>
      </c>
      <c r="L99" s="15">
        <f>IF(Table1_2[[#This Row],[Salary]]="N/A",AVERAGEIF(Table1_2[Department],Table1_2[[#This Row],[Department]],Table1_2[Salary]),Table1_2[[#This Row],[Salary]])</f>
        <v>89333</v>
      </c>
      <c r="M99" s="16">
        <f>IF(Table1_2[[#This Row],[Date of Joining]]="",AVERAGEIF(Table1_2[Department],Table1_2[[#This Row],[Department]],Table1_2[Date of Joining]),Table1_2[[#This Row],[Date of Joining]])</f>
        <v>42687</v>
      </c>
      <c r="N99">
        <f>IF(Table1_2[[#This Row],[Performance Rating]]="",AVERAGEIF(Table1_2[Department],Table1_2[[#This Row],[Department]],Table1_2[Performance Rating]),Table1_2[[#This Row],[Performance Rating]])</f>
        <v>1</v>
      </c>
      <c r="O99">
        <f>ROUND(Table1_2[[#This Row],[Performance Rating2]],0)</f>
        <v>1</v>
      </c>
      <c r="P99" t="s">
        <v>180</v>
      </c>
      <c r="S99">
        <f>ROUND(VALUE(Table1_2[[#This Row],[Salary2]]),0)</f>
        <v>89333</v>
      </c>
      <c r="T99">
        <f>VALUE(Table1_2[[#This Row],[Performance Rating22]])</f>
        <v>1</v>
      </c>
    </row>
    <row r="100" spans="1:20" x14ac:dyDescent="0.35">
      <c r="A100" t="s">
        <v>107</v>
      </c>
      <c r="B100" t="s">
        <v>287</v>
      </c>
      <c r="C100">
        <v>1098</v>
      </c>
      <c r="D100" t="s">
        <v>165</v>
      </c>
      <c r="E100" t="s">
        <v>169</v>
      </c>
      <c r="F100" t="s">
        <v>176</v>
      </c>
      <c r="G100" s="13">
        <v>70470</v>
      </c>
      <c r="H100" s="16">
        <v>42694</v>
      </c>
      <c r="J100" t="s">
        <v>180</v>
      </c>
      <c r="K100" t="s">
        <v>257</v>
      </c>
      <c r="L100" s="15">
        <f>IF(Table1_2[[#This Row],[Salary]]="N/A",AVERAGEIF(Table1_2[Department],Table1_2[[#This Row],[Department]],Table1_2[Salary]),Table1_2[[#This Row],[Salary]])</f>
        <v>70470</v>
      </c>
      <c r="M100" s="16">
        <f>IF(Table1_2[[#This Row],[Date of Joining]]="",AVERAGEIF(Table1_2[Department],Table1_2[[#This Row],[Department]],Table1_2[Date of Joining]),Table1_2[[#This Row],[Date of Joining]])</f>
        <v>42694</v>
      </c>
      <c r="N100">
        <f>IF(Table1_2[[#This Row],[Performance Rating]]="",AVERAGEIF(Table1_2[Department],Table1_2[[#This Row],[Department]],Table1_2[Performance Rating]),Table1_2[[#This Row],[Performance Rating]])</f>
        <v>2.9444444444444446</v>
      </c>
      <c r="O100">
        <f>ROUND(Table1_2[[#This Row],[Performance Rating2]],0)</f>
        <v>3</v>
      </c>
      <c r="P100" t="s">
        <v>180</v>
      </c>
      <c r="S100">
        <f>ROUND(VALUE(Table1_2[[#This Row],[Salary2]]),0)</f>
        <v>70470</v>
      </c>
      <c r="T100">
        <f>VALUE(Table1_2[[#This Row],[Performance Rating22]])</f>
        <v>3</v>
      </c>
    </row>
    <row r="101" spans="1:20" x14ac:dyDescent="0.35">
      <c r="A101" t="s">
        <v>108</v>
      </c>
      <c r="B101" t="s">
        <v>287</v>
      </c>
      <c r="C101">
        <v>1099</v>
      </c>
      <c r="D101" t="s">
        <v>159</v>
      </c>
      <c r="E101" t="s">
        <v>170</v>
      </c>
      <c r="F101" t="s">
        <v>173</v>
      </c>
      <c r="G101" s="13">
        <v>70096</v>
      </c>
      <c r="H101" s="16">
        <v>42701</v>
      </c>
      <c r="I101">
        <v>4</v>
      </c>
      <c r="J101" t="s">
        <v>180</v>
      </c>
      <c r="K101" t="s">
        <v>258</v>
      </c>
      <c r="L101" s="15">
        <f>IF(Table1_2[[#This Row],[Salary]]="N/A",AVERAGEIF(Table1_2[Department],Table1_2[[#This Row],[Department]],Table1_2[Salary]),Table1_2[[#This Row],[Salary]])</f>
        <v>70096</v>
      </c>
      <c r="M101" s="16">
        <f>IF(Table1_2[[#This Row],[Date of Joining]]="",AVERAGEIF(Table1_2[Department],Table1_2[[#This Row],[Department]],Table1_2[Date of Joining]),Table1_2[[#This Row],[Date of Joining]])</f>
        <v>42701</v>
      </c>
      <c r="N101">
        <f>IF(Table1_2[[#This Row],[Performance Rating]]="",AVERAGEIF(Table1_2[Department],Table1_2[[#This Row],[Department]],Table1_2[Performance Rating]),Table1_2[[#This Row],[Performance Rating]])</f>
        <v>4</v>
      </c>
      <c r="O101">
        <f>ROUND(Table1_2[[#This Row],[Performance Rating2]],0)</f>
        <v>4</v>
      </c>
      <c r="P101" t="s">
        <v>180</v>
      </c>
      <c r="S101">
        <f>ROUND(VALUE(Table1_2[[#This Row],[Salary2]]),0)</f>
        <v>70096</v>
      </c>
      <c r="T101">
        <f>VALUE(Table1_2[[#This Row],[Performance Rating22]])</f>
        <v>4</v>
      </c>
    </row>
    <row r="102" spans="1:20" x14ac:dyDescent="0.35">
      <c r="A102" t="s">
        <v>109</v>
      </c>
      <c r="B102" t="s">
        <v>287</v>
      </c>
      <c r="C102">
        <v>1100</v>
      </c>
      <c r="D102" t="s">
        <v>165</v>
      </c>
      <c r="E102" t="s">
        <v>170</v>
      </c>
      <c r="F102" t="s">
        <v>174</v>
      </c>
      <c r="G102" s="13" t="s">
        <v>177</v>
      </c>
      <c r="H102" s="16">
        <v>42708</v>
      </c>
      <c r="I102">
        <v>2</v>
      </c>
      <c r="J102" t="s">
        <v>179</v>
      </c>
      <c r="K102" t="s">
        <v>259</v>
      </c>
      <c r="L102" s="15">
        <f>IF(Table1_2[[#This Row],[Salary]]="N/A",AVERAGEIF(Table1_2[Department],Table1_2[[#This Row],[Department]],Table1_2[Salary]),Table1_2[[#This Row],[Salary]])</f>
        <v>65071.98</v>
      </c>
      <c r="M102" s="16">
        <f>IF(Table1_2[[#This Row],[Date of Joining]]="",AVERAGEIF(Table1_2[Department],Table1_2[[#This Row],[Department]],Table1_2[Date of Joining]),Table1_2[[#This Row],[Date of Joining]])</f>
        <v>42708</v>
      </c>
      <c r="N102">
        <f>IF(Table1_2[[#This Row],[Performance Rating]]="",AVERAGEIF(Table1_2[Department],Table1_2[[#This Row],[Department]],Table1_2[Performance Rating]),Table1_2[[#This Row],[Performance Rating]])</f>
        <v>2</v>
      </c>
      <c r="O102">
        <f>ROUND(Table1_2[[#This Row],[Performance Rating2]],0)</f>
        <v>2</v>
      </c>
      <c r="P102" t="s">
        <v>179</v>
      </c>
      <c r="S102">
        <f>ROUND(VALUE(Table1_2[[#This Row],[Salary2]]),0)</f>
        <v>65072</v>
      </c>
      <c r="T102">
        <f>VALUE(Table1_2[[#This Row],[Performance Rating22]])</f>
        <v>2</v>
      </c>
    </row>
    <row r="103" spans="1:20" x14ac:dyDescent="0.35">
      <c r="A103" t="s">
        <v>110</v>
      </c>
      <c r="B103" t="s">
        <v>287</v>
      </c>
      <c r="C103">
        <v>1101</v>
      </c>
      <c r="D103" t="s">
        <v>165</v>
      </c>
      <c r="E103" t="s">
        <v>169</v>
      </c>
      <c r="F103" t="s">
        <v>172</v>
      </c>
      <c r="G103" s="13">
        <v>66503</v>
      </c>
      <c r="H103" s="16">
        <v>42715</v>
      </c>
      <c r="J103" t="s">
        <v>180</v>
      </c>
      <c r="K103" t="s">
        <v>200</v>
      </c>
      <c r="L103" s="15">
        <f>IF(Table1_2[[#This Row],[Salary]]="N/A",AVERAGEIF(Table1_2[Department],Table1_2[[#This Row],[Department]],Table1_2[Salary]),Table1_2[[#This Row],[Salary]])</f>
        <v>66503</v>
      </c>
      <c r="M103" s="16">
        <f>IF(Table1_2[[#This Row],[Date of Joining]]="",AVERAGEIF(Table1_2[Department],Table1_2[[#This Row],[Department]],Table1_2[Date of Joining]),Table1_2[[#This Row],[Date of Joining]])</f>
        <v>42715</v>
      </c>
      <c r="N103">
        <f>IF(Table1_2[[#This Row],[Performance Rating]]="",AVERAGEIF(Table1_2[Department],Table1_2[[#This Row],[Department]],Table1_2[Performance Rating]),Table1_2[[#This Row],[Performance Rating]])</f>
        <v>2.9444444444444446</v>
      </c>
      <c r="O103">
        <f>ROUND(Table1_2[[#This Row],[Performance Rating2]],0)</f>
        <v>3</v>
      </c>
      <c r="P103" t="s">
        <v>180</v>
      </c>
      <c r="S103">
        <f>ROUND(VALUE(Table1_2[[#This Row],[Salary2]]),0)</f>
        <v>66503</v>
      </c>
      <c r="T103">
        <f>VALUE(Table1_2[[#This Row],[Performance Rating22]])</f>
        <v>3</v>
      </c>
    </row>
    <row r="104" spans="1:20" x14ac:dyDescent="0.35">
      <c r="A104" t="s">
        <v>111</v>
      </c>
      <c r="B104" t="s">
        <v>287</v>
      </c>
      <c r="C104">
        <v>1102</v>
      </c>
      <c r="D104" t="s">
        <v>160</v>
      </c>
      <c r="E104" t="s">
        <v>167</v>
      </c>
      <c r="F104" t="s">
        <v>172</v>
      </c>
      <c r="G104" s="13">
        <v>42096</v>
      </c>
      <c r="H104" s="16">
        <v>42722</v>
      </c>
      <c r="J104" t="s">
        <v>181</v>
      </c>
      <c r="K104" t="s">
        <v>260</v>
      </c>
      <c r="L104" s="15">
        <f>IF(Table1_2[[#This Row],[Salary]]="N/A",AVERAGEIF(Table1_2[Department],Table1_2[[#This Row],[Department]],Table1_2[Salary]),Table1_2[[#This Row],[Salary]])</f>
        <v>42096</v>
      </c>
      <c r="M104" s="16">
        <f>IF(Table1_2[[#This Row],[Date of Joining]]="",AVERAGEIF(Table1_2[Department],Table1_2[[#This Row],[Department]],Table1_2[Date of Joining]),Table1_2[[#This Row],[Date of Joining]])</f>
        <v>42722</v>
      </c>
      <c r="N104">
        <f>IF(Table1_2[[#This Row],[Performance Rating]]="",AVERAGEIF(Table1_2[Department],Table1_2[[#This Row],[Department]],Table1_2[Performance Rating]),Table1_2[[#This Row],[Performance Rating]])</f>
        <v>2.7</v>
      </c>
      <c r="O104">
        <f>ROUND(Table1_2[[#This Row],[Performance Rating2]],0)</f>
        <v>3</v>
      </c>
      <c r="P104" t="s">
        <v>181</v>
      </c>
      <c r="S104">
        <f>ROUND(VALUE(Table1_2[[#This Row],[Salary2]]),0)</f>
        <v>42096</v>
      </c>
      <c r="T104">
        <f>VALUE(Table1_2[[#This Row],[Performance Rating22]])</f>
        <v>3</v>
      </c>
    </row>
    <row r="105" spans="1:20" x14ac:dyDescent="0.35">
      <c r="A105" t="s">
        <v>112</v>
      </c>
      <c r="B105" t="s">
        <v>287</v>
      </c>
      <c r="C105">
        <v>1103</v>
      </c>
      <c r="D105" t="s">
        <v>160</v>
      </c>
      <c r="E105" t="s">
        <v>170</v>
      </c>
      <c r="F105" t="s">
        <v>174</v>
      </c>
      <c r="G105" s="13">
        <v>79145</v>
      </c>
      <c r="H105" s="16">
        <v>42729</v>
      </c>
      <c r="I105">
        <v>5</v>
      </c>
      <c r="J105" t="s">
        <v>179</v>
      </c>
      <c r="K105" t="s">
        <v>223</v>
      </c>
      <c r="L105" s="15">
        <f>IF(Table1_2[[#This Row],[Salary]]="N/A",AVERAGEIF(Table1_2[Department],Table1_2[[#This Row],[Department]],Table1_2[Salary]),Table1_2[[#This Row],[Salary]])</f>
        <v>79145</v>
      </c>
      <c r="M105" s="16">
        <f>IF(Table1_2[[#This Row],[Date of Joining]]="",AVERAGEIF(Table1_2[Department],Table1_2[[#This Row],[Department]],Table1_2[Date of Joining]),Table1_2[[#This Row],[Date of Joining]])</f>
        <v>42729</v>
      </c>
      <c r="N105">
        <f>IF(Table1_2[[#This Row],[Performance Rating]]="",AVERAGEIF(Table1_2[Department],Table1_2[[#This Row],[Department]],Table1_2[Performance Rating]),Table1_2[[#This Row],[Performance Rating]])</f>
        <v>5</v>
      </c>
      <c r="O105">
        <f>ROUND(Table1_2[[#This Row],[Performance Rating2]],0)</f>
        <v>5</v>
      </c>
      <c r="P105" t="s">
        <v>179</v>
      </c>
      <c r="S105">
        <f>ROUND(VALUE(Table1_2[[#This Row],[Salary2]]),0)</f>
        <v>79145</v>
      </c>
      <c r="T105">
        <f>VALUE(Table1_2[[#This Row],[Performance Rating22]])</f>
        <v>5</v>
      </c>
    </row>
    <row r="106" spans="1:20" x14ac:dyDescent="0.35">
      <c r="A106" t="s">
        <v>113</v>
      </c>
      <c r="B106" t="s">
        <v>287</v>
      </c>
      <c r="C106">
        <v>1104</v>
      </c>
      <c r="D106" t="s">
        <v>162</v>
      </c>
      <c r="E106" t="s">
        <v>170</v>
      </c>
      <c r="F106" t="s">
        <v>176</v>
      </c>
      <c r="G106" s="13">
        <v>61556</v>
      </c>
      <c r="H106" s="16">
        <v>42736</v>
      </c>
      <c r="I106">
        <v>1</v>
      </c>
      <c r="K106" t="s">
        <v>259</v>
      </c>
      <c r="L106" s="15">
        <f>IF(Table1_2[[#This Row],[Salary]]="N/A",AVERAGEIF(Table1_2[Department],Table1_2[[#This Row],[Department]],Table1_2[Salary]),Table1_2[[#This Row],[Salary]])</f>
        <v>61556</v>
      </c>
      <c r="M106" s="16">
        <f>IF(Table1_2[[#This Row],[Date of Joining]]="",AVERAGEIF(Table1_2[Department],Table1_2[[#This Row],[Department]],Table1_2[Date of Joining]),Table1_2[[#This Row],[Date of Joining]])</f>
        <v>42736</v>
      </c>
      <c r="N106">
        <f>IF(Table1_2[[#This Row],[Performance Rating]]="",AVERAGEIF(Table1_2[Department],Table1_2[[#This Row],[Department]],Table1_2[Performance Rating]),Table1_2[[#This Row],[Performance Rating]])</f>
        <v>1</v>
      </c>
      <c r="O106">
        <f>ROUND(Table1_2[[#This Row],[Performance Rating2]],0)</f>
        <v>1</v>
      </c>
      <c r="P106" t="s">
        <v>180</v>
      </c>
      <c r="S106">
        <f>ROUND(VALUE(Table1_2[[#This Row],[Salary2]]),0)</f>
        <v>61556</v>
      </c>
      <c r="T106">
        <f>VALUE(Table1_2[[#This Row],[Performance Rating22]])</f>
        <v>1</v>
      </c>
    </row>
    <row r="107" spans="1:20" x14ac:dyDescent="0.35">
      <c r="A107" t="s">
        <v>114</v>
      </c>
      <c r="B107" t="s">
        <v>287</v>
      </c>
      <c r="C107">
        <v>1105</v>
      </c>
      <c r="D107" t="s">
        <v>178</v>
      </c>
      <c r="E107" t="s">
        <v>167</v>
      </c>
      <c r="F107" t="s">
        <v>175</v>
      </c>
      <c r="G107" s="13">
        <v>87963</v>
      </c>
      <c r="H107" s="16">
        <v>42743</v>
      </c>
      <c r="I107">
        <v>3</v>
      </c>
      <c r="J107" t="s">
        <v>179</v>
      </c>
      <c r="K107" t="s">
        <v>182</v>
      </c>
      <c r="L107" s="15">
        <f>IF(Table1_2[[#This Row],[Salary]]="N/A",AVERAGEIF(Table1_2[Department],Table1_2[[#This Row],[Department]],Table1_2[Salary]),Table1_2[[#This Row],[Salary]])</f>
        <v>87963</v>
      </c>
      <c r="M107" s="16">
        <f>IF(Table1_2[[#This Row],[Date of Joining]]="",AVERAGEIF(Table1_2[Department],Table1_2[[#This Row],[Department]],Table1_2[Date of Joining]),Table1_2[[#This Row],[Date of Joining]])</f>
        <v>42743</v>
      </c>
      <c r="N107">
        <f>IF(Table1_2[[#This Row],[Performance Rating]]="",AVERAGEIF(Table1_2[Department],Table1_2[[#This Row],[Department]],Table1_2[Performance Rating]),Table1_2[[#This Row],[Performance Rating]])</f>
        <v>3</v>
      </c>
      <c r="O107">
        <f>ROUND(Table1_2[[#This Row],[Performance Rating2]],0)</f>
        <v>3</v>
      </c>
      <c r="P107" t="s">
        <v>179</v>
      </c>
      <c r="S107">
        <f>ROUND(VALUE(Table1_2[[#This Row],[Salary2]]),0)</f>
        <v>87963</v>
      </c>
      <c r="T107">
        <f>VALUE(Table1_2[[#This Row],[Performance Rating22]])</f>
        <v>3</v>
      </c>
    </row>
    <row r="108" spans="1:20" x14ac:dyDescent="0.35">
      <c r="A108" t="s">
        <v>115</v>
      </c>
      <c r="B108" t="s">
        <v>287</v>
      </c>
      <c r="C108">
        <v>1106</v>
      </c>
      <c r="D108" t="s">
        <v>159</v>
      </c>
      <c r="E108" t="s">
        <v>169</v>
      </c>
      <c r="F108" t="s">
        <v>174</v>
      </c>
      <c r="G108" s="13">
        <v>48325</v>
      </c>
      <c r="H108" s="16">
        <v>42750</v>
      </c>
      <c r="J108" t="s">
        <v>180</v>
      </c>
      <c r="K108" t="s">
        <v>261</v>
      </c>
      <c r="L108" s="15">
        <f>IF(Table1_2[[#This Row],[Salary]]="N/A",AVERAGEIF(Table1_2[Department],Table1_2[[#This Row],[Department]],Table1_2[Salary]),Table1_2[[#This Row],[Salary]])</f>
        <v>48325</v>
      </c>
      <c r="M108" s="16">
        <f>IF(Table1_2[[#This Row],[Date of Joining]]="",AVERAGEIF(Table1_2[Department],Table1_2[[#This Row],[Department]],Table1_2[Date of Joining]),Table1_2[[#This Row],[Date of Joining]])</f>
        <v>42750</v>
      </c>
      <c r="N108">
        <f>IF(Table1_2[[#This Row],[Performance Rating]]="",AVERAGEIF(Table1_2[Department],Table1_2[[#This Row],[Department]],Table1_2[Performance Rating]),Table1_2[[#This Row],[Performance Rating]])</f>
        <v>2.9444444444444446</v>
      </c>
      <c r="O108">
        <f>ROUND(Table1_2[[#This Row],[Performance Rating2]],0)</f>
        <v>3</v>
      </c>
      <c r="P108" t="s">
        <v>180</v>
      </c>
      <c r="S108">
        <f>ROUND(VALUE(Table1_2[[#This Row],[Salary2]]),0)</f>
        <v>48325</v>
      </c>
      <c r="T108">
        <f>VALUE(Table1_2[[#This Row],[Performance Rating22]])</f>
        <v>3</v>
      </c>
    </row>
    <row r="109" spans="1:20" x14ac:dyDescent="0.35">
      <c r="A109" t="s">
        <v>116</v>
      </c>
      <c r="B109" t="s">
        <v>287</v>
      </c>
      <c r="C109">
        <v>1107</v>
      </c>
      <c r="D109" t="s">
        <v>163</v>
      </c>
      <c r="E109" t="s">
        <v>170</v>
      </c>
      <c r="F109" t="s">
        <v>176</v>
      </c>
      <c r="G109" s="13">
        <v>86412</v>
      </c>
      <c r="H109" s="16">
        <v>42757</v>
      </c>
      <c r="I109">
        <v>2</v>
      </c>
      <c r="J109" t="s">
        <v>181</v>
      </c>
      <c r="K109" t="s">
        <v>202</v>
      </c>
      <c r="L109" s="15">
        <f>IF(Table1_2[[#This Row],[Salary]]="N/A",AVERAGEIF(Table1_2[Department],Table1_2[[#This Row],[Department]],Table1_2[Salary]),Table1_2[[#This Row],[Salary]])</f>
        <v>86412</v>
      </c>
      <c r="M109" s="16">
        <f>IF(Table1_2[[#This Row],[Date of Joining]]="",AVERAGEIF(Table1_2[Department],Table1_2[[#This Row],[Department]],Table1_2[Date of Joining]),Table1_2[[#This Row],[Date of Joining]])</f>
        <v>42757</v>
      </c>
      <c r="N109">
        <f>IF(Table1_2[[#This Row],[Performance Rating]]="",AVERAGEIF(Table1_2[Department],Table1_2[[#This Row],[Department]],Table1_2[Performance Rating]),Table1_2[[#This Row],[Performance Rating]])</f>
        <v>2</v>
      </c>
      <c r="O109">
        <f>ROUND(Table1_2[[#This Row],[Performance Rating2]],0)</f>
        <v>2</v>
      </c>
      <c r="P109" t="s">
        <v>181</v>
      </c>
      <c r="S109">
        <f>ROUND(VALUE(Table1_2[[#This Row],[Salary2]]),0)</f>
        <v>86412</v>
      </c>
      <c r="T109">
        <f>VALUE(Table1_2[[#This Row],[Performance Rating22]])</f>
        <v>2</v>
      </c>
    </row>
    <row r="110" spans="1:20" x14ac:dyDescent="0.35">
      <c r="A110" t="s">
        <v>117</v>
      </c>
      <c r="B110" t="s">
        <v>287</v>
      </c>
      <c r="C110">
        <v>1108</v>
      </c>
      <c r="D110" t="s">
        <v>163</v>
      </c>
      <c r="E110" t="s">
        <v>167</v>
      </c>
      <c r="F110" t="s">
        <v>174</v>
      </c>
      <c r="G110" s="13">
        <v>66761</v>
      </c>
      <c r="H110" s="16">
        <v>42764</v>
      </c>
      <c r="I110">
        <v>1</v>
      </c>
      <c r="K110" t="s">
        <v>262</v>
      </c>
      <c r="L110" s="15">
        <f>IF(Table1_2[[#This Row],[Salary]]="N/A",AVERAGEIF(Table1_2[Department],Table1_2[[#This Row],[Department]],Table1_2[Salary]),Table1_2[[#This Row],[Salary]])</f>
        <v>66761</v>
      </c>
      <c r="M110" s="16">
        <f>IF(Table1_2[[#This Row],[Date of Joining]]="",AVERAGEIF(Table1_2[Department],Table1_2[[#This Row],[Department]],Table1_2[Date of Joining]),Table1_2[[#This Row],[Date of Joining]])</f>
        <v>42764</v>
      </c>
      <c r="N110">
        <f>IF(Table1_2[[#This Row],[Performance Rating]]="",AVERAGEIF(Table1_2[Department],Table1_2[[#This Row],[Department]],Table1_2[Performance Rating]),Table1_2[[#This Row],[Performance Rating]])</f>
        <v>1</v>
      </c>
      <c r="O110">
        <f>ROUND(Table1_2[[#This Row],[Performance Rating2]],0)</f>
        <v>1</v>
      </c>
      <c r="P110" t="s">
        <v>180</v>
      </c>
      <c r="S110">
        <f>ROUND(VALUE(Table1_2[[#This Row],[Salary2]]),0)</f>
        <v>66761</v>
      </c>
      <c r="T110">
        <f>VALUE(Table1_2[[#This Row],[Performance Rating22]])</f>
        <v>1</v>
      </c>
    </row>
    <row r="111" spans="1:20" x14ac:dyDescent="0.35">
      <c r="A111" t="s">
        <v>118</v>
      </c>
      <c r="B111" t="s">
        <v>287</v>
      </c>
      <c r="C111">
        <v>1109</v>
      </c>
      <c r="D111" t="s">
        <v>162</v>
      </c>
      <c r="E111" t="s">
        <v>170</v>
      </c>
      <c r="F111" t="s">
        <v>174</v>
      </c>
      <c r="G111" s="13">
        <v>88850</v>
      </c>
      <c r="H111" s="16">
        <v>42771</v>
      </c>
      <c r="I111">
        <v>1</v>
      </c>
      <c r="J111" t="s">
        <v>181</v>
      </c>
      <c r="K111" t="s">
        <v>263</v>
      </c>
      <c r="L111" s="15">
        <f>IF(Table1_2[[#This Row],[Salary]]="N/A",AVERAGEIF(Table1_2[Department],Table1_2[[#This Row],[Department]],Table1_2[Salary]),Table1_2[[#This Row],[Salary]])</f>
        <v>88850</v>
      </c>
      <c r="M111" s="16">
        <f>IF(Table1_2[[#This Row],[Date of Joining]]="",AVERAGEIF(Table1_2[Department],Table1_2[[#This Row],[Department]],Table1_2[Date of Joining]),Table1_2[[#This Row],[Date of Joining]])</f>
        <v>42771</v>
      </c>
      <c r="N111">
        <f>IF(Table1_2[[#This Row],[Performance Rating]]="",AVERAGEIF(Table1_2[Department],Table1_2[[#This Row],[Department]],Table1_2[Performance Rating]),Table1_2[[#This Row],[Performance Rating]])</f>
        <v>1</v>
      </c>
      <c r="O111">
        <f>ROUND(Table1_2[[#This Row],[Performance Rating2]],0)</f>
        <v>1</v>
      </c>
      <c r="P111" t="s">
        <v>181</v>
      </c>
      <c r="S111">
        <f>ROUND(VALUE(Table1_2[[#This Row],[Salary2]]),0)</f>
        <v>88850</v>
      </c>
      <c r="T111">
        <f>VALUE(Table1_2[[#This Row],[Performance Rating22]])</f>
        <v>1</v>
      </c>
    </row>
    <row r="112" spans="1:20" x14ac:dyDescent="0.35">
      <c r="A112" t="s">
        <v>119</v>
      </c>
      <c r="B112" t="s">
        <v>287</v>
      </c>
      <c r="C112">
        <v>1110</v>
      </c>
      <c r="D112" t="s">
        <v>164</v>
      </c>
      <c r="E112" t="s">
        <v>168</v>
      </c>
      <c r="F112" t="s">
        <v>174</v>
      </c>
      <c r="G112" s="13">
        <v>31293</v>
      </c>
      <c r="H112" s="16"/>
      <c r="I112">
        <v>2</v>
      </c>
      <c r="J112" t="s">
        <v>181</v>
      </c>
      <c r="K112" t="s">
        <v>264</v>
      </c>
      <c r="L112" s="15">
        <f>IF(Table1_2[[#This Row],[Salary]]="N/A",AVERAGEIF(Table1_2[Department],Table1_2[[#This Row],[Department]],Table1_2[Salary]),Table1_2[[#This Row],[Salary]])</f>
        <v>31293</v>
      </c>
      <c r="M112" s="16">
        <f>IF(Table1_2[[#This Row],[Date of Joining]]="",AVERAGEIF(Table1_2[Department],Table1_2[[#This Row],[Department]],Table1_2[Date of Joining]),Table1_2[[#This Row],[Date of Joining]])</f>
        <v>42563.041666666664</v>
      </c>
      <c r="N112">
        <f>IF(Table1_2[[#This Row],[Performance Rating]]="",AVERAGEIF(Table1_2[Department],Table1_2[[#This Row],[Department]],Table1_2[Performance Rating]),Table1_2[[#This Row],[Performance Rating]])</f>
        <v>2</v>
      </c>
      <c r="O112">
        <f>ROUND(Table1_2[[#This Row],[Performance Rating2]],0)</f>
        <v>2</v>
      </c>
      <c r="P112" t="s">
        <v>181</v>
      </c>
      <c r="S112">
        <f>ROUND(VALUE(Table1_2[[#This Row],[Salary2]]),0)</f>
        <v>31293</v>
      </c>
      <c r="T112">
        <f>VALUE(Table1_2[[#This Row],[Performance Rating22]])</f>
        <v>2</v>
      </c>
    </row>
    <row r="113" spans="1:20" x14ac:dyDescent="0.35">
      <c r="A113" t="s">
        <v>120</v>
      </c>
      <c r="B113" t="s">
        <v>287</v>
      </c>
      <c r="C113">
        <v>1111</v>
      </c>
      <c r="D113" t="s">
        <v>164</v>
      </c>
      <c r="E113" t="s">
        <v>169</v>
      </c>
      <c r="F113" t="s">
        <v>173</v>
      </c>
      <c r="G113" s="13">
        <v>34306</v>
      </c>
      <c r="H113" s="16">
        <v>42785</v>
      </c>
      <c r="I113">
        <v>5</v>
      </c>
      <c r="J113" t="s">
        <v>181</v>
      </c>
      <c r="K113" t="s">
        <v>239</v>
      </c>
      <c r="L113" s="15">
        <f>IF(Table1_2[[#This Row],[Salary]]="N/A",AVERAGEIF(Table1_2[Department],Table1_2[[#This Row],[Department]],Table1_2[Salary]),Table1_2[[#This Row],[Salary]])</f>
        <v>34306</v>
      </c>
      <c r="M113" s="16">
        <f>IF(Table1_2[[#This Row],[Date of Joining]]="",AVERAGEIF(Table1_2[Department],Table1_2[[#This Row],[Department]],Table1_2[Date of Joining]),Table1_2[[#This Row],[Date of Joining]])</f>
        <v>42785</v>
      </c>
      <c r="N113">
        <f>IF(Table1_2[[#This Row],[Performance Rating]]="",AVERAGEIF(Table1_2[Department],Table1_2[[#This Row],[Department]],Table1_2[Performance Rating]),Table1_2[[#This Row],[Performance Rating]])</f>
        <v>5</v>
      </c>
      <c r="O113">
        <f>ROUND(Table1_2[[#This Row],[Performance Rating2]],0)</f>
        <v>5</v>
      </c>
      <c r="P113" t="s">
        <v>181</v>
      </c>
      <c r="S113">
        <f>ROUND(VALUE(Table1_2[[#This Row],[Salary2]]),0)</f>
        <v>34306</v>
      </c>
      <c r="T113">
        <f>VALUE(Table1_2[[#This Row],[Performance Rating22]])</f>
        <v>5</v>
      </c>
    </row>
    <row r="114" spans="1:20" x14ac:dyDescent="0.35">
      <c r="A114" t="s">
        <v>121</v>
      </c>
      <c r="B114" t="s">
        <v>287</v>
      </c>
      <c r="C114">
        <v>1112</v>
      </c>
      <c r="D114" t="s">
        <v>159</v>
      </c>
      <c r="E114" t="s">
        <v>166</v>
      </c>
      <c r="F114" t="s">
        <v>174</v>
      </c>
      <c r="G114" s="13">
        <v>78330</v>
      </c>
      <c r="H114" s="16">
        <v>42792</v>
      </c>
      <c r="J114" t="s">
        <v>179</v>
      </c>
      <c r="K114" t="s">
        <v>258</v>
      </c>
      <c r="L114" s="15">
        <f>IF(Table1_2[[#This Row],[Salary]]="N/A",AVERAGEIF(Table1_2[Department],Table1_2[[#This Row],[Department]],Table1_2[Salary]),Table1_2[[#This Row],[Salary]])</f>
        <v>78330</v>
      </c>
      <c r="M114" s="16">
        <f>IF(Table1_2[[#This Row],[Date of Joining]]="",AVERAGEIF(Table1_2[Department],Table1_2[[#This Row],[Department]],Table1_2[Date of Joining]),Table1_2[[#This Row],[Date of Joining]])</f>
        <v>42792</v>
      </c>
      <c r="N114">
        <f>IF(Table1_2[[#This Row],[Performance Rating]]="",AVERAGEIF(Table1_2[Department],Table1_2[[#This Row],[Department]],Table1_2[Performance Rating]),Table1_2[[#This Row],[Performance Rating]])</f>
        <v>2.5789473684210527</v>
      </c>
      <c r="O114">
        <f>ROUND(Table1_2[[#This Row],[Performance Rating2]],0)</f>
        <v>3</v>
      </c>
      <c r="P114" t="s">
        <v>179</v>
      </c>
      <c r="S114">
        <f>ROUND(VALUE(Table1_2[[#This Row],[Salary2]]),0)</f>
        <v>78330</v>
      </c>
      <c r="T114">
        <f>VALUE(Table1_2[[#This Row],[Performance Rating22]])</f>
        <v>3</v>
      </c>
    </row>
    <row r="115" spans="1:20" x14ac:dyDescent="0.35">
      <c r="A115" t="s">
        <v>122</v>
      </c>
      <c r="B115" t="s">
        <v>287</v>
      </c>
      <c r="C115">
        <v>1113</v>
      </c>
      <c r="D115" t="s">
        <v>160</v>
      </c>
      <c r="E115" t="s">
        <v>169</v>
      </c>
      <c r="F115" t="s">
        <v>173</v>
      </c>
      <c r="G115" s="13">
        <v>47653</v>
      </c>
      <c r="H115" s="16">
        <v>42799</v>
      </c>
      <c r="I115">
        <v>1</v>
      </c>
      <c r="J115" t="s">
        <v>180</v>
      </c>
      <c r="K115" t="s">
        <v>265</v>
      </c>
      <c r="L115" s="15">
        <f>IF(Table1_2[[#This Row],[Salary]]="N/A",AVERAGEIF(Table1_2[Department],Table1_2[[#This Row],[Department]],Table1_2[Salary]),Table1_2[[#This Row],[Salary]])</f>
        <v>47653</v>
      </c>
      <c r="M115" s="16">
        <f>IF(Table1_2[[#This Row],[Date of Joining]]="",AVERAGEIF(Table1_2[Department],Table1_2[[#This Row],[Department]],Table1_2[Date of Joining]),Table1_2[[#This Row],[Date of Joining]])</f>
        <v>42799</v>
      </c>
      <c r="N115">
        <f>IF(Table1_2[[#This Row],[Performance Rating]]="",AVERAGEIF(Table1_2[Department],Table1_2[[#This Row],[Department]],Table1_2[Performance Rating]),Table1_2[[#This Row],[Performance Rating]])</f>
        <v>1</v>
      </c>
      <c r="O115">
        <f>ROUND(Table1_2[[#This Row],[Performance Rating2]],0)</f>
        <v>1</v>
      </c>
      <c r="P115" t="s">
        <v>180</v>
      </c>
      <c r="S115">
        <f>ROUND(VALUE(Table1_2[[#This Row],[Salary2]]),0)</f>
        <v>47653</v>
      </c>
      <c r="T115">
        <f>VALUE(Table1_2[[#This Row],[Performance Rating22]])</f>
        <v>1</v>
      </c>
    </row>
    <row r="116" spans="1:20" x14ac:dyDescent="0.35">
      <c r="A116" t="s">
        <v>123</v>
      </c>
      <c r="B116" t="s">
        <v>287</v>
      </c>
      <c r="C116">
        <v>1114</v>
      </c>
      <c r="D116" t="s">
        <v>159</v>
      </c>
      <c r="E116" t="s">
        <v>170</v>
      </c>
      <c r="F116" t="s">
        <v>175</v>
      </c>
      <c r="G116" s="13">
        <v>44627</v>
      </c>
      <c r="H116" s="16">
        <v>42806</v>
      </c>
      <c r="I116">
        <v>4</v>
      </c>
      <c r="K116" t="s">
        <v>235</v>
      </c>
      <c r="L116" s="15">
        <f>IF(Table1_2[[#This Row],[Salary]]="N/A",AVERAGEIF(Table1_2[Department],Table1_2[[#This Row],[Department]],Table1_2[Salary]),Table1_2[[#This Row],[Salary]])</f>
        <v>44627</v>
      </c>
      <c r="M116" s="16">
        <f>IF(Table1_2[[#This Row],[Date of Joining]]="",AVERAGEIF(Table1_2[Department],Table1_2[[#This Row],[Department]],Table1_2[Date of Joining]),Table1_2[[#This Row],[Date of Joining]])</f>
        <v>42806</v>
      </c>
      <c r="N116">
        <f>IF(Table1_2[[#This Row],[Performance Rating]]="",AVERAGEIF(Table1_2[Department],Table1_2[[#This Row],[Department]],Table1_2[Performance Rating]),Table1_2[[#This Row],[Performance Rating]])</f>
        <v>4</v>
      </c>
      <c r="O116">
        <f>ROUND(Table1_2[[#This Row],[Performance Rating2]],0)</f>
        <v>4</v>
      </c>
      <c r="P116" t="s">
        <v>180</v>
      </c>
      <c r="S116">
        <f>ROUND(VALUE(Table1_2[[#This Row],[Salary2]]),0)</f>
        <v>44627</v>
      </c>
      <c r="T116">
        <f>VALUE(Table1_2[[#This Row],[Performance Rating22]])</f>
        <v>4</v>
      </c>
    </row>
    <row r="117" spans="1:20" x14ac:dyDescent="0.35">
      <c r="A117" t="s">
        <v>124</v>
      </c>
      <c r="B117" t="s">
        <v>287</v>
      </c>
      <c r="C117">
        <v>1115</v>
      </c>
      <c r="D117" t="s">
        <v>165</v>
      </c>
      <c r="E117" t="s">
        <v>167</v>
      </c>
      <c r="F117" t="s">
        <v>172</v>
      </c>
      <c r="G117" s="13">
        <v>92343</v>
      </c>
      <c r="H117" s="16">
        <v>42813</v>
      </c>
      <c r="I117">
        <v>4</v>
      </c>
      <c r="J117" t="s">
        <v>181</v>
      </c>
      <c r="K117" t="s">
        <v>203</v>
      </c>
      <c r="L117" s="15">
        <f>IF(Table1_2[[#This Row],[Salary]]="N/A",AVERAGEIF(Table1_2[Department],Table1_2[[#This Row],[Department]],Table1_2[Salary]),Table1_2[[#This Row],[Salary]])</f>
        <v>92343</v>
      </c>
      <c r="M117" s="16">
        <f>IF(Table1_2[[#This Row],[Date of Joining]]="",AVERAGEIF(Table1_2[Department],Table1_2[[#This Row],[Department]],Table1_2[Date of Joining]),Table1_2[[#This Row],[Date of Joining]])</f>
        <v>42813</v>
      </c>
      <c r="N117">
        <f>IF(Table1_2[[#This Row],[Performance Rating]]="",AVERAGEIF(Table1_2[Department],Table1_2[[#This Row],[Department]],Table1_2[Performance Rating]),Table1_2[[#This Row],[Performance Rating]])</f>
        <v>4</v>
      </c>
      <c r="O117">
        <f>ROUND(Table1_2[[#This Row],[Performance Rating2]],0)</f>
        <v>4</v>
      </c>
      <c r="P117" t="s">
        <v>181</v>
      </c>
      <c r="S117">
        <f>ROUND(VALUE(Table1_2[[#This Row],[Salary2]]),0)</f>
        <v>92343</v>
      </c>
      <c r="T117">
        <f>VALUE(Table1_2[[#This Row],[Performance Rating22]])</f>
        <v>4</v>
      </c>
    </row>
    <row r="118" spans="1:20" x14ac:dyDescent="0.35">
      <c r="A118" t="s">
        <v>125</v>
      </c>
      <c r="B118" t="s">
        <v>287</v>
      </c>
      <c r="C118">
        <v>1116</v>
      </c>
      <c r="D118" t="s">
        <v>165</v>
      </c>
      <c r="E118" t="s">
        <v>170</v>
      </c>
      <c r="F118" t="s">
        <v>176</v>
      </c>
      <c r="G118" s="13">
        <v>38837</v>
      </c>
      <c r="H118" s="16">
        <v>42820</v>
      </c>
      <c r="I118">
        <v>5</v>
      </c>
      <c r="J118" t="s">
        <v>181</v>
      </c>
      <c r="K118" t="s">
        <v>239</v>
      </c>
      <c r="L118" s="15">
        <f>IF(Table1_2[[#This Row],[Salary]]="N/A",AVERAGEIF(Table1_2[Department],Table1_2[[#This Row],[Department]],Table1_2[Salary]),Table1_2[[#This Row],[Salary]])</f>
        <v>38837</v>
      </c>
      <c r="M118" s="16">
        <f>IF(Table1_2[[#This Row],[Date of Joining]]="",AVERAGEIF(Table1_2[Department],Table1_2[[#This Row],[Department]],Table1_2[Date of Joining]),Table1_2[[#This Row],[Date of Joining]])</f>
        <v>42820</v>
      </c>
      <c r="N118">
        <f>IF(Table1_2[[#This Row],[Performance Rating]]="",AVERAGEIF(Table1_2[Department],Table1_2[[#This Row],[Department]],Table1_2[Performance Rating]),Table1_2[[#This Row],[Performance Rating]])</f>
        <v>5</v>
      </c>
      <c r="O118">
        <f>ROUND(Table1_2[[#This Row],[Performance Rating2]],0)</f>
        <v>5</v>
      </c>
      <c r="P118" t="s">
        <v>181</v>
      </c>
      <c r="S118">
        <f>ROUND(VALUE(Table1_2[[#This Row],[Salary2]]),0)</f>
        <v>38837</v>
      </c>
      <c r="T118">
        <f>VALUE(Table1_2[[#This Row],[Performance Rating22]])</f>
        <v>5</v>
      </c>
    </row>
    <row r="119" spans="1:20" x14ac:dyDescent="0.35">
      <c r="A119" t="s">
        <v>126</v>
      </c>
      <c r="B119" t="s">
        <v>287</v>
      </c>
      <c r="C119">
        <v>1117</v>
      </c>
      <c r="D119" t="s">
        <v>165</v>
      </c>
      <c r="E119" t="s">
        <v>170</v>
      </c>
      <c r="F119" t="s">
        <v>174</v>
      </c>
      <c r="G119" s="13">
        <v>73483</v>
      </c>
      <c r="H119" s="16">
        <v>42827</v>
      </c>
      <c r="I119">
        <v>1</v>
      </c>
      <c r="K119" t="s">
        <v>266</v>
      </c>
      <c r="L119" s="15">
        <f>IF(Table1_2[[#This Row],[Salary]]="N/A",AVERAGEIF(Table1_2[Department],Table1_2[[#This Row],[Department]],Table1_2[Salary]),Table1_2[[#This Row],[Salary]])</f>
        <v>73483</v>
      </c>
      <c r="M119" s="16">
        <f>IF(Table1_2[[#This Row],[Date of Joining]]="",AVERAGEIF(Table1_2[Department],Table1_2[[#This Row],[Department]],Table1_2[Date of Joining]),Table1_2[[#This Row],[Date of Joining]])</f>
        <v>42827</v>
      </c>
      <c r="N119">
        <f>IF(Table1_2[[#This Row],[Performance Rating]]="",AVERAGEIF(Table1_2[Department],Table1_2[[#This Row],[Department]],Table1_2[Performance Rating]),Table1_2[[#This Row],[Performance Rating]])</f>
        <v>1</v>
      </c>
      <c r="O119">
        <f>ROUND(Table1_2[[#This Row],[Performance Rating2]],0)</f>
        <v>1</v>
      </c>
      <c r="P119" t="s">
        <v>180</v>
      </c>
      <c r="S119">
        <f>ROUND(VALUE(Table1_2[[#This Row],[Salary2]]),0)</f>
        <v>73483</v>
      </c>
      <c r="T119">
        <f>VALUE(Table1_2[[#This Row],[Performance Rating22]])</f>
        <v>1</v>
      </c>
    </row>
    <row r="120" spans="1:20" x14ac:dyDescent="0.35">
      <c r="A120" t="s">
        <v>127</v>
      </c>
      <c r="B120" t="s">
        <v>287</v>
      </c>
      <c r="C120">
        <v>1118</v>
      </c>
      <c r="D120" t="s">
        <v>164</v>
      </c>
      <c r="E120" t="s">
        <v>168</v>
      </c>
      <c r="F120" t="s">
        <v>174</v>
      </c>
      <c r="G120" s="13">
        <v>95032</v>
      </c>
      <c r="H120" s="16">
        <v>42834</v>
      </c>
      <c r="I120">
        <v>3</v>
      </c>
      <c r="K120" t="s">
        <v>267</v>
      </c>
      <c r="L120" s="15">
        <f>IF(Table1_2[[#This Row],[Salary]]="N/A",AVERAGEIF(Table1_2[Department],Table1_2[[#This Row],[Department]],Table1_2[Salary]),Table1_2[[#This Row],[Salary]])</f>
        <v>95032</v>
      </c>
      <c r="M120" s="16">
        <f>IF(Table1_2[[#This Row],[Date of Joining]]="",AVERAGEIF(Table1_2[Department],Table1_2[[#This Row],[Department]],Table1_2[Date of Joining]),Table1_2[[#This Row],[Date of Joining]])</f>
        <v>42834</v>
      </c>
      <c r="N120">
        <f>IF(Table1_2[[#This Row],[Performance Rating]]="",AVERAGEIF(Table1_2[Department],Table1_2[[#This Row],[Department]],Table1_2[Performance Rating]),Table1_2[[#This Row],[Performance Rating]])</f>
        <v>3</v>
      </c>
      <c r="O120">
        <f>ROUND(Table1_2[[#This Row],[Performance Rating2]],0)</f>
        <v>3</v>
      </c>
      <c r="P120" t="s">
        <v>180</v>
      </c>
      <c r="S120">
        <f>ROUND(VALUE(Table1_2[[#This Row],[Salary2]]),0)</f>
        <v>95032</v>
      </c>
      <c r="T120">
        <f>VALUE(Table1_2[[#This Row],[Performance Rating22]])</f>
        <v>3</v>
      </c>
    </row>
    <row r="121" spans="1:20" x14ac:dyDescent="0.35">
      <c r="A121" t="s">
        <v>128</v>
      </c>
      <c r="B121" t="s">
        <v>287</v>
      </c>
      <c r="C121">
        <v>1119</v>
      </c>
      <c r="D121" t="s">
        <v>159</v>
      </c>
      <c r="E121" t="s">
        <v>168</v>
      </c>
      <c r="F121" t="s">
        <v>176</v>
      </c>
      <c r="G121" s="13">
        <v>44358</v>
      </c>
      <c r="H121" s="16">
        <v>42841</v>
      </c>
      <c r="J121" t="s">
        <v>181</v>
      </c>
      <c r="K121" t="s">
        <v>200</v>
      </c>
      <c r="L121" s="15">
        <f>IF(Table1_2[[#This Row],[Salary]]="N/A",AVERAGEIF(Table1_2[Department],Table1_2[[#This Row],[Department]],Table1_2[Salary]),Table1_2[[#This Row],[Salary]])</f>
        <v>44358</v>
      </c>
      <c r="M121" s="16">
        <f>IF(Table1_2[[#This Row],[Date of Joining]]="",AVERAGEIF(Table1_2[Department],Table1_2[[#This Row],[Department]],Table1_2[Date of Joining]),Table1_2[[#This Row],[Date of Joining]])</f>
        <v>42841</v>
      </c>
      <c r="N121">
        <f>IF(Table1_2[[#This Row],[Performance Rating]]="",AVERAGEIF(Table1_2[Department],Table1_2[[#This Row],[Department]],Table1_2[Performance Rating]),Table1_2[[#This Row],[Performance Rating]])</f>
        <v>2.7272727272727271</v>
      </c>
      <c r="O121">
        <f>ROUND(Table1_2[[#This Row],[Performance Rating2]],0)</f>
        <v>3</v>
      </c>
      <c r="P121" t="s">
        <v>181</v>
      </c>
      <c r="S121">
        <f>ROUND(VALUE(Table1_2[[#This Row],[Salary2]]),0)</f>
        <v>44358</v>
      </c>
      <c r="T121">
        <f>VALUE(Table1_2[[#This Row],[Performance Rating22]])</f>
        <v>3</v>
      </c>
    </row>
    <row r="122" spans="1:20" x14ac:dyDescent="0.35">
      <c r="A122" t="s">
        <v>129</v>
      </c>
      <c r="B122" t="s">
        <v>287</v>
      </c>
      <c r="C122">
        <v>1120</v>
      </c>
      <c r="D122" t="s">
        <v>178</v>
      </c>
      <c r="E122" t="s">
        <v>169</v>
      </c>
      <c r="F122" t="s">
        <v>173</v>
      </c>
      <c r="G122" s="13" t="s">
        <v>177</v>
      </c>
      <c r="H122" s="16"/>
      <c r="I122">
        <v>5</v>
      </c>
      <c r="J122" t="s">
        <v>178</v>
      </c>
      <c r="K122" t="s">
        <v>268</v>
      </c>
      <c r="L122" s="15">
        <f>IF(Table1_2[[#This Row],[Salary]]="N/A",AVERAGEIF(Table1_2[Department],Table1_2[[#This Row],[Department]],Table1_2[Salary]),Table1_2[[#This Row],[Salary]])</f>
        <v>66157.5</v>
      </c>
      <c r="M122" s="16">
        <f>IF(Table1_2[[#This Row],[Date of Joining]]="",AVERAGEIF(Table1_2[Department],Table1_2[[#This Row],[Department]],Table1_2[Date of Joining]),Table1_2[[#This Row],[Date of Joining]])</f>
        <v>42521.333333333336</v>
      </c>
      <c r="N122">
        <f>IF(Table1_2[[#This Row],[Performance Rating]]="",AVERAGEIF(Table1_2[Department],Table1_2[[#This Row],[Department]],Table1_2[Performance Rating]),Table1_2[[#This Row],[Performance Rating]])</f>
        <v>5</v>
      </c>
      <c r="O122">
        <f>ROUND(Table1_2[[#This Row],[Performance Rating2]],0)</f>
        <v>5</v>
      </c>
      <c r="P122" t="s">
        <v>178</v>
      </c>
      <c r="S122">
        <f>ROUND(VALUE(Table1_2[[#This Row],[Salary2]]),0)</f>
        <v>66158</v>
      </c>
      <c r="T122">
        <f>VALUE(Table1_2[[#This Row],[Performance Rating22]])</f>
        <v>5</v>
      </c>
    </row>
    <row r="123" spans="1:20" x14ac:dyDescent="0.35">
      <c r="A123" t="s">
        <v>130</v>
      </c>
      <c r="B123" t="s">
        <v>287</v>
      </c>
      <c r="C123">
        <v>1121</v>
      </c>
      <c r="D123" t="s">
        <v>164</v>
      </c>
      <c r="E123" t="s">
        <v>168</v>
      </c>
      <c r="F123" t="s">
        <v>173</v>
      </c>
      <c r="G123" s="13">
        <v>45676</v>
      </c>
      <c r="H123" s="16">
        <v>42855</v>
      </c>
      <c r="I123">
        <v>2</v>
      </c>
      <c r="K123" t="s">
        <v>269</v>
      </c>
      <c r="L123" s="15">
        <f>IF(Table1_2[[#This Row],[Salary]]="N/A",AVERAGEIF(Table1_2[Department],Table1_2[[#This Row],[Department]],Table1_2[Salary]),Table1_2[[#This Row],[Salary]])</f>
        <v>45676</v>
      </c>
      <c r="M123" s="16">
        <f>IF(Table1_2[[#This Row],[Date of Joining]]="",AVERAGEIF(Table1_2[Department],Table1_2[[#This Row],[Department]],Table1_2[Date of Joining]),Table1_2[[#This Row],[Date of Joining]])</f>
        <v>42855</v>
      </c>
      <c r="N123">
        <f>IF(Table1_2[[#This Row],[Performance Rating]]="",AVERAGEIF(Table1_2[Department],Table1_2[[#This Row],[Department]],Table1_2[Performance Rating]),Table1_2[[#This Row],[Performance Rating]])</f>
        <v>2</v>
      </c>
      <c r="O123">
        <f>ROUND(Table1_2[[#This Row],[Performance Rating2]],0)</f>
        <v>2</v>
      </c>
      <c r="P123" t="s">
        <v>180</v>
      </c>
      <c r="S123">
        <f>ROUND(VALUE(Table1_2[[#This Row],[Salary2]]),0)</f>
        <v>45676</v>
      </c>
      <c r="T123">
        <f>VALUE(Table1_2[[#This Row],[Performance Rating22]])</f>
        <v>2</v>
      </c>
    </row>
    <row r="124" spans="1:20" x14ac:dyDescent="0.35">
      <c r="A124" t="s">
        <v>131</v>
      </c>
      <c r="B124" t="s">
        <v>287</v>
      </c>
      <c r="C124">
        <v>1122</v>
      </c>
      <c r="D124" t="s">
        <v>165</v>
      </c>
      <c r="E124" t="s">
        <v>168</v>
      </c>
      <c r="F124" t="s">
        <v>172</v>
      </c>
      <c r="G124" s="13">
        <v>52036</v>
      </c>
      <c r="H124" s="16">
        <v>42862</v>
      </c>
      <c r="I124">
        <v>3</v>
      </c>
      <c r="J124" t="s">
        <v>180</v>
      </c>
      <c r="K124" t="s">
        <v>270</v>
      </c>
      <c r="L124" s="15">
        <f>IF(Table1_2[[#This Row],[Salary]]="N/A",AVERAGEIF(Table1_2[Department],Table1_2[[#This Row],[Department]],Table1_2[Salary]),Table1_2[[#This Row],[Salary]])</f>
        <v>52036</v>
      </c>
      <c r="M124" s="16">
        <f>IF(Table1_2[[#This Row],[Date of Joining]]="",AVERAGEIF(Table1_2[Department],Table1_2[[#This Row],[Department]],Table1_2[Date of Joining]),Table1_2[[#This Row],[Date of Joining]])</f>
        <v>42862</v>
      </c>
      <c r="N124">
        <f>IF(Table1_2[[#This Row],[Performance Rating]]="",AVERAGEIF(Table1_2[Department],Table1_2[[#This Row],[Department]],Table1_2[Performance Rating]),Table1_2[[#This Row],[Performance Rating]])</f>
        <v>3</v>
      </c>
      <c r="O124">
        <f>ROUND(Table1_2[[#This Row],[Performance Rating2]],0)</f>
        <v>3</v>
      </c>
      <c r="P124" t="s">
        <v>180</v>
      </c>
      <c r="S124">
        <f>ROUND(VALUE(Table1_2[[#This Row],[Salary2]]),0)</f>
        <v>52036</v>
      </c>
      <c r="T124">
        <f>VALUE(Table1_2[[#This Row],[Performance Rating22]])</f>
        <v>3</v>
      </c>
    </row>
    <row r="125" spans="1:20" x14ac:dyDescent="0.35">
      <c r="A125" t="s">
        <v>132</v>
      </c>
      <c r="B125" t="s">
        <v>287</v>
      </c>
      <c r="C125">
        <v>1123</v>
      </c>
      <c r="D125" t="s">
        <v>162</v>
      </c>
      <c r="E125" t="s">
        <v>170</v>
      </c>
      <c r="F125" t="s">
        <v>172</v>
      </c>
      <c r="G125" s="13">
        <v>30357</v>
      </c>
      <c r="H125" s="16">
        <v>42869</v>
      </c>
      <c r="I125">
        <v>5</v>
      </c>
      <c r="J125" t="s">
        <v>180</v>
      </c>
      <c r="K125" t="s">
        <v>248</v>
      </c>
      <c r="L125" s="15">
        <f>IF(Table1_2[[#This Row],[Salary]]="N/A",AVERAGEIF(Table1_2[Department],Table1_2[[#This Row],[Department]],Table1_2[Salary]),Table1_2[[#This Row],[Salary]])</f>
        <v>30357</v>
      </c>
      <c r="M125" s="16">
        <f>IF(Table1_2[[#This Row],[Date of Joining]]="",AVERAGEIF(Table1_2[Department],Table1_2[[#This Row],[Department]],Table1_2[Date of Joining]),Table1_2[[#This Row],[Date of Joining]])</f>
        <v>42869</v>
      </c>
      <c r="N125">
        <f>IF(Table1_2[[#This Row],[Performance Rating]]="",AVERAGEIF(Table1_2[Department],Table1_2[[#This Row],[Department]],Table1_2[Performance Rating]),Table1_2[[#This Row],[Performance Rating]])</f>
        <v>5</v>
      </c>
      <c r="O125">
        <f>ROUND(Table1_2[[#This Row],[Performance Rating2]],0)</f>
        <v>5</v>
      </c>
      <c r="P125" t="s">
        <v>180</v>
      </c>
      <c r="S125">
        <f>ROUND(VALUE(Table1_2[[#This Row],[Salary2]]),0)</f>
        <v>30357</v>
      </c>
      <c r="T125">
        <f>VALUE(Table1_2[[#This Row],[Performance Rating22]])</f>
        <v>5</v>
      </c>
    </row>
    <row r="126" spans="1:20" x14ac:dyDescent="0.35">
      <c r="A126" t="s">
        <v>133</v>
      </c>
      <c r="B126" t="s">
        <v>287</v>
      </c>
      <c r="C126">
        <v>1124</v>
      </c>
      <c r="D126" t="s">
        <v>161</v>
      </c>
      <c r="E126" t="s">
        <v>169</v>
      </c>
      <c r="F126" t="s">
        <v>174</v>
      </c>
      <c r="G126" s="13">
        <v>60034</v>
      </c>
      <c r="H126" s="16">
        <v>42876</v>
      </c>
      <c r="I126">
        <v>1</v>
      </c>
      <c r="J126" t="s">
        <v>181</v>
      </c>
      <c r="K126" t="s">
        <v>271</v>
      </c>
      <c r="L126" s="15">
        <f>IF(Table1_2[[#This Row],[Salary]]="N/A",AVERAGEIF(Table1_2[Department],Table1_2[[#This Row],[Department]],Table1_2[Salary]),Table1_2[[#This Row],[Salary]])</f>
        <v>60034</v>
      </c>
      <c r="M126" s="16">
        <f>IF(Table1_2[[#This Row],[Date of Joining]]="",AVERAGEIF(Table1_2[Department],Table1_2[[#This Row],[Department]],Table1_2[Date of Joining]),Table1_2[[#This Row],[Date of Joining]])</f>
        <v>42876</v>
      </c>
      <c r="N126">
        <f>IF(Table1_2[[#This Row],[Performance Rating]]="",AVERAGEIF(Table1_2[Department],Table1_2[[#This Row],[Department]],Table1_2[Performance Rating]),Table1_2[[#This Row],[Performance Rating]])</f>
        <v>1</v>
      </c>
      <c r="O126">
        <f>ROUND(Table1_2[[#This Row],[Performance Rating2]],0)</f>
        <v>1</v>
      </c>
      <c r="P126" t="s">
        <v>181</v>
      </c>
      <c r="S126">
        <f>ROUND(VALUE(Table1_2[[#This Row],[Salary2]]),0)</f>
        <v>60034</v>
      </c>
      <c r="T126">
        <f>VALUE(Table1_2[[#This Row],[Performance Rating22]])</f>
        <v>1</v>
      </c>
    </row>
    <row r="127" spans="1:20" x14ac:dyDescent="0.35">
      <c r="A127" t="s">
        <v>134</v>
      </c>
      <c r="B127" t="s">
        <v>287</v>
      </c>
      <c r="C127">
        <v>1125</v>
      </c>
      <c r="D127" t="s">
        <v>161</v>
      </c>
      <c r="E127" t="s">
        <v>166</v>
      </c>
      <c r="F127" t="s">
        <v>174</v>
      </c>
      <c r="G127" s="13">
        <v>90019</v>
      </c>
      <c r="H127" s="16">
        <v>42883</v>
      </c>
      <c r="I127">
        <v>5</v>
      </c>
      <c r="K127" t="s">
        <v>272</v>
      </c>
      <c r="L127" s="15">
        <f>IF(Table1_2[[#This Row],[Salary]]="N/A",AVERAGEIF(Table1_2[Department],Table1_2[[#This Row],[Department]],Table1_2[Salary]),Table1_2[[#This Row],[Salary]])</f>
        <v>90019</v>
      </c>
      <c r="M127" s="16">
        <f>IF(Table1_2[[#This Row],[Date of Joining]]="",AVERAGEIF(Table1_2[Department],Table1_2[[#This Row],[Department]],Table1_2[Date of Joining]),Table1_2[[#This Row],[Date of Joining]])</f>
        <v>42883</v>
      </c>
      <c r="N127">
        <f>IF(Table1_2[[#This Row],[Performance Rating]]="",AVERAGEIF(Table1_2[Department],Table1_2[[#This Row],[Department]],Table1_2[Performance Rating]),Table1_2[[#This Row],[Performance Rating]])</f>
        <v>5</v>
      </c>
      <c r="O127">
        <f>ROUND(Table1_2[[#This Row],[Performance Rating2]],0)</f>
        <v>5</v>
      </c>
      <c r="P127" t="s">
        <v>180</v>
      </c>
      <c r="S127">
        <f>ROUND(VALUE(Table1_2[[#This Row],[Salary2]]),0)</f>
        <v>90019</v>
      </c>
      <c r="T127">
        <f>VALUE(Table1_2[[#This Row],[Performance Rating22]])</f>
        <v>5</v>
      </c>
    </row>
    <row r="128" spans="1:20" x14ac:dyDescent="0.35">
      <c r="A128" t="s">
        <v>135</v>
      </c>
      <c r="B128" t="s">
        <v>287</v>
      </c>
      <c r="C128">
        <v>1126</v>
      </c>
      <c r="D128" t="s">
        <v>165</v>
      </c>
      <c r="E128" t="s">
        <v>170</v>
      </c>
      <c r="F128" t="s">
        <v>172</v>
      </c>
      <c r="G128" s="13">
        <v>71494</v>
      </c>
      <c r="H128" s="16">
        <v>42890</v>
      </c>
      <c r="I128">
        <v>3</v>
      </c>
      <c r="J128" t="s">
        <v>180</v>
      </c>
      <c r="K128" t="s">
        <v>273</v>
      </c>
      <c r="L128" s="15">
        <f>IF(Table1_2[[#This Row],[Salary]]="N/A",AVERAGEIF(Table1_2[Department],Table1_2[[#This Row],[Department]],Table1_2[Salary]),Table1_2[[#This Row],[Salary]])</f>
        <v>71494</v>
      </c>
      <c r="M128" s="16">
        <f>IF(Table1_2[[#This Row],[Date of Joining]]="",AVERAGEIF(Table1_2[Department],Table1_2[[#This Row],[Department]],Table1_2[Date of Joining]),Table1_2[[#This Row],[Date of Joining]])</f>
        <v>42890</v>
      </c>
      <c r="N128">
        <f>IF(Table1_2[[#This Row],[Performance Rating]]="",AVERAGEIF(Table1_2[Department],Table1_2[[#This Row],[Department]],Table1_2[Performance Rating]),Table1_2[[#This Row],[Performance Rating]])</f>
        <v>3</v>
      </c>
      <c r="O128">
        <f>ROUND(Table1_2[[#This Row],[Performance Rating2]],0)</f>
        <v>3</v>
      </c>
      <c r="P128" t="s">
        <v>180</v>
      </c>
      <c r="S128">
        <f>ROUND(VALUE(Table1_2[[#This Row],[Salary2]]),0)</f>
        <v>71494</v>
      </c>
      <c r="T128">
        <f>VALUE(Table1_2[[#This Row],[Performance Rating22]])</f>
        <v>3</v>
      </c>
    </row>
    <row r="129" spans="1:20" x14ac:dyDescent="0.35">
      <c r="A129" t="s">
        <v>136</v>
      </c>
      <c r="B129" t="s">
        <v>287</v>
      </c>
      <c r="C129">
        <v>1127</v>
      </c>
      <c r="D129" t="s">
        <v>161</v>
      </c>
      <c r="E129" t="s">
        <v>166</v>
      </c>
      <c r="F129" t="s">
        <v>173</v>
      </c>
      <c r="G129" s="13">
        <v>91953</v>
      </c>
      <c r="H129" s="16">
        <v>42897</v>
      </c>
      <c r="I129">
        <v>2</v>
      </c>
      <c r="J129" t="s">
        <v>180</v>
      </c>
      <c r="K129" t="s">
        <v>209</v>
      </c>
      <c r="L129" s="15">
        <f>IF(Table1_2[[#This Row],[Salary]]="N/A",AVERAGEIF(Table1_2[Department],Table1_2[[#This Row],[Department]],Table1_2[Salary]),Table1_2[[#This Row],[Salary]])</f>
        <v>91953</v>
      </c>
      <c r="M129" s="16">
        <f>IF(Table1_2[[#This Row],[Date of Joining]]="",AVERAGEIF(Table1_2[Department],Table1_2[[#This Row],[Department]],Table1_2[Date of Joining]),Table1_2[[#This Row],[Date of Joining]])</f>
        <v>42897</v>
      </c>
      <c r="N129">
        <f>IF(Table1_2[[#This Row],[Performance Rating]]="",AVERAGEIF(Table1_2[Department],Table1_2[[#This Row],[Department]],Table1_2[Performance Rating]),Table1_2[[#This Row],[Performance Rating]])</f>
        <v>2</v>
      </c>
      <c r="O129">
        <f>ROUND(Table1_2[[#This Row],[Performance Rating2]],0)</f>
        <v>2</v>
      </c>
      <c r="P129" t="s">
        <v>180</v>
      </c>
      <c r="S129">
        <f>ROUND(VALUE(Table1_2[[#This Row],[Salary2]]),0)</f>
        <v>91953</v>
      </c>
      <c r="T129">
        <f>VALUE(Table1_2[[#This Row],[Performance Rating22]])</f>
        <v>2</v>
      </c>
    </row>
    <row r="130" spans="1:20" x14ac:dyDescent="0.35">
      <c r="A130" t="s">
        <v>137</v>
      </c>
      <c r="B130" t="s">
        <v>287</v>
      </c>
      <c r="C130">
        <v>1128</v>
      </c>
      <c r="D130" t="s">
        <v>164</v>
      </c>
      <c r="E130" t="s">
        <v>168</v>
      </c>
      <c r="F130" t="s">
        <v>173</v>
      </c>
      <c r="G130" s="13">
        <v>30402</v>
      </c>
      <c r="H130" s="16">
        <v>42904</v>
      </c>
      <c r="I130">
        <v>1</v>
      </c>
      <c r="K130" t="s">
        <v>274</v>
      </c>
      <c r="L130" s="15">
        <f>IF(Table1_2[[#This Row],[Salary]]="N/A",AVERAGEIF(Table1_2[Department],Table1_2[[#This Row],[Department]],Table1_2[Salary]),Table1_2[[#This Row],[Salary]])</f>
        <v>30402</v>
      </c>
      <c r="M130" s="16">
        <f>IF(Table1_2[[#This Row],[Date of Joining]]="",AVERAGEIF(Table1_2[Department],Table1_2[[#This Row],[Department]],Table1_2[Date of Joining]),Table1_2[[#This Row],[Date of Joining]])</f>
        <v>42904</v>
      </c>
      <c r="N130">
        <f>IF(Table1_2[[#This Row],[Performance Rating]]="",AVERAGEIF(Table1_2[Department],Table1_2[[#This Row],[Department]],Table1_2[Performance Rating]),Table1_2[[#This Row],[Performance Rating]])</f>
        <v>1</v>
      </c>
      <c r="O130">
        <f>ROUND(Table1_2[[#This Row],[Performance Rating2]],0)</f>
        <v>1</v>
      </c>
      <c r="P130" t="s">
        <v>180</v>
      </c>
      <c r="S130">
        <f>ROUND(VALUE(Table1_2[[#This Row],[Salary2]]),0)</f>
        <v>30402</v>
      </c>
      <c r="T130">
        <f>VALUE(Table1_2[[#This Row],[Performance Rating22]])</f>
        <v>1</v>
      </c>
    </row>
    <row r="131" spans="1:20" x14ac:dyDescent="0.35">
      <c r="A131" t="s">
        <v>138</v>
      </c>
      <c r="B131" t="s">
        <v>287</v>
      </c>
      <c r="C131">
        <v>1129</v>
      </c>
      <c r="D131" t="s">
        <v>165</v>
      </c>
      <c r="E131" t="s">
        <v>170</v>
      </c>
      <c r="F131" t="s">
        <v>175</v>
      </c>
      <c r="G131" s="13">
        <v>62994</v>
      </c>
      <c r="H131" s="16">
        <v>42911</v>
      </c>
      <c r="K131" t="s">
        <v>221</v>
      </c>
      <c r="L131" s="15">
        <f>IF(Table1_2[[#This Row],[Salary]]="N/A",AVERAGEIF(Table1_2[Department],Table1_2[[#This Row],[Department]],Table1_2[Salary]),Table1_2[[#This Row],[Salary]])</f>
        <v>62994</v>
      </c>
      <c r="M131" s="16">
        <f>IF(Table1_2[[#This Row],[Date of Joining]]="",AVERAGEIF(Table1_2[Department],Table1_2[[#This Row],[Department]],Table1_2[Date of Joining]),Table1_2[[#This Row],[Date of Joining]])</f>
        <v>42911</v>
      </c>
      <c r="N131">
        <f>IF(Table1_2[[#This Row],[Performance Rating]]="",AVERAGEIF(Table1_2[Department],Table1_2[[#This Row],[Department]],Table1_2[Performance Rating]),Table1_2[[#This Row],[Performance Rating]])</f>
        <v>3.1086956521739131</v>
      </c>
      <c r="O131">
        <f>ROUND(Table1_2[[#This Row],[Performance Rating2]],0)</f>
        <v>3</v>
      </c>
      <c r="P131" t="s">
        <v>180</v>
      </c>
      <c r="S131">
        <f>ROUND(VALUE(Table1_2[[#This Row],[Salary2]]),0)</f>
        <v>62994</v>
      </c>
      <c r="T131">
        <f>VALUE(Table1_2[[#This Row],[Performance Rating22]])</f>
        <v>3</v>
      </c>
    </row>
    <row r="132" spans="1:20" x14ac:dyDescent="0.35">
      <c r="A132" t="s">
        <v>139</v>
      </c>
      <c r="B132" t="s">
        <v>287</v>
      </c>
      <c r="C132">
        <v>1130</v>
      </c>
      <c r="D132" t="s">
        <v>160</v>
      </c>
      <c r="E132" t="s">
        <v>168</v>
      </c>
      <c r="F132" t="s">
        <v>174</v>
      </c>
      <c r="G132" s="13">
        <v>48289</v>
      </c>
      <c r="H132" s="16"/>
      <c r="I132">
        <v>3</v>
      </c>
      <c r="J132" t="s">
        <v>180</v>
      </c>
      <c r="K132" t="s">
        <v>189</v>
      </c>
      <c r="L132" s="15">
        <f>IF(Table1_2[[#This Row],[Salary]]="N/A",AVERAGEIF(Table1_2[Department],Table1_2[[#This Row],[Department]],Table1_2[Salary]),Table1_2[[#This Row],[Salary]])</f>
        <v>48289</v>
      </c>
      <c r="M132" s="16">
        <f>IF(Table1_2[[#This Row],[Date of Joining]]="",AVERAGEIF(Table1_2[Department],Table1_2[[#This Row],[Department]],Table1_2[Date of Joining]),Table1_2[[#This Row],[Date of Joining]])</f>
        <v>42563.041666666664</v>
      </c>
      <c r="N132">
        <f>IF(Table1_2[[#This Row],[Performance Rating]]="",AVERAGEIF(Table1_2[Department],Table1_2[[#This Row],[Department]],Table1_2[Performance Rating]),Table1_2[[#This Row],[Performance Rating]])</f>
        <v>3</v>
      </c>
      <c r="O132">
        <f>ROUND(Table1_2[[#This Row],[Performance Rating2]],0)</f>
        <v>3</v>
      </c>
      <c r="P132" t="s">
        <v>180</v>
      </c>
      <c r="S132">
        <f>ROUND(VALUE(Table1_2[[#This Row],[Salary2]]),0)</f>
        <v>48289</v>
      </c>
      <c r="T132">
        <f>VALUE(Table1_2[[#This Row],[Performance Rating22]])</f>
        <v>3</v>
      </c>
    </row>
    <row r="133" spans="1:20" x14ac:dyDescent="0.35">
      <c r="A133" t="s">
        <v>140</v>
      </c>
      <c r="B133" t="s">
        <v>287</v>
      </c>
      <c r="C133">
        <v>1131</v>
      </c>
      <c r="D133" t="s">
        <v>163</v>
      </c>
      <c r="E133" t="s">
        <v>170</v>
      </c>
      <c r="F133" t="s">
        <v>172</v>
      </c>
      <c r="G133" s="13">
        <v>34402</v>
      </c>
      <c r="H133" s="16">
        <v>42925</v>
      </c>
      <c r="I133">
        <v>3</v>
      </c>
      <c r="J133" t="s">
        <v>179</v>
      </c>
      <c r="K133" t="s">
        <v>218</v>
      </c>
      <c r="L133" s="15">
        <f>IF(Table1_2[[#This Row],[Salary]]="N/A",AVERAGEIF(Table1_2[Department],Table1_2[[#This Row],[Department]],Table1_2[Salary]),Table1_2[[#This Row],[Salary]])</f>
        <v>34402</v>
      </c>
      <c r="M133" s="16">
        <f>IF(Table1_2[[#This Row],[Date of Joining]]="",AVERAGEIF(Table1_2[Department],Table1_2[[#This Row],[Department]],Table1_2[Date of Joining]),Table1_2[[#This Row],[Date of Joining]])</f>
        <v>42925</v>
      </c>
      <c r="N133">
        <f>IF(Table1_2[[#This Row],[Performance Rating]]="",AVERAGEIF(Table1_2[Department],Table1_2[[#This Row],[Department]],Table1_2[Performance Rating]),Table1_2[[#This Row],[Performance Rating]])</f>
        <v>3</v>
      </c>
      <c r="O133">
        <f>ROUND(Table1_2[[#This Row],[Performance Rating2]],0)</f>
        <v>3</v>
      </c>
      <c r="P133" t="s">
        <v>179</v>
      </c>
      <c r="S133">
        <f>ROUND(VALUE(Table1_2[[#This Row],[Salary2]]),0)</f>
        <v>34402</v>
      </c>
      <c r="T133">
        <f>VALUE(Table1_2[[#This Row],[Performance Rating22]])</f>
        <v>3</v>
      </c>
    </row>
    <row r="134" spans="1:20" x14ac:dyDescent="0.35">
      <c r="A134" t="s">
        <v>141</v>
      </c>
      <c r="B134" t="s">
        <v>287</v>
      </c>
      <c r="C134">
        <v>1132</v>
      </c>
      <c r="D134" t="s">
        <v>159</v>
      </c>
      <c r="E134" t="s">
        <v>167</v>
      </c>
      <c r="F134" t="s">
        <v>173</v>
      </c>
      <c r="G134" s="13">
        <v>38678</v>
      </c>
      <c r="H134" s="16">
        <v>42932</v>
      </c>
      <c r="I134">
        <v>3</v>
      </c>
      <c r="J134" t="s">
        <v>179</v>
      </c>
      <c r="K134" t="s">
        <v>275</v>
      </c>
      <c r="L134" s="15">
        <f>IF(Table1_2[[#This Row],[Salary]]="N/A",AVERAGEIF(Table1_2[Department],Table1_2[[#This Row],[Department]],Table1_2[Salary]),Table1_2[[#This Row],[Salary]])</f>
        <v>38678</v>
      </c>
      <c r="M134" s="16">
        <f>IF(Table1_2[[#This Row],[Date of Joining]]="",AVERAGEIF(Table1_2[Department],Table1_2[[#This Row],[Department]],Table1_2[Date of Joining]),Table1_2[[#This Row],[Date of Joining]])</f>
        <v>42932</v>
      </c>
      <c r="N134">
        <f>IF(Table1_2[[#This Row],[Performance Rating]]="",AVERAGEIF(Table1_2[Department],Table1_2[[#This Row],[Department]],Table1_2[Performance Rating]),Table1_2[[#This Row],[Performance Rating]])</f>
        <v>3</v>
      </c>
      <c r="O134">
        <f>ROUND(Table1_2[[#This Row],[Performance Rating2]],0)</f>
        <v>3</v>
      </c>
      <c r="P134" t="s">
        <v>179</v>
      </c>
      <c r="S134">
        <f>ROUND(VALUE(Table1_2[[#This Row],[Salary2]]),0)</f>
        <v>38678</v>
      </c>
      <c r="T134">
        <f>VALUE(Table1_2[[#This Row],[Performance Rating22]])</f>
        <v>3</v>
      </c>
    </row>
    <row r="135" spans="1:20" x14ac:dyDescent="0.35">
      <c r="A135" t="s">
        <v>142</v>
      </c>
      <c r="B135" t="s">
        <v>287</v>
      </c>
      <c r="C135">
        <v>1133</v>
      </c>
      <c r="D135" t="s">
        <v>164</v>
      </c>
      <c r="E135" t="s">
        <v>167</v>
      </c>
      <c r="F135" t="s">
        <v>172</v>
      </c>
      <c r="G135" s="13">
        <v>45758</v>
      </c>
      <c r="H135" s="16">
        <v>42939</v>
      </c>
      <c r="I135">
        <v>3</v>
      </c>
      <c r="K135" t="s">
        <v>264</v>
      </c>
      <c r="L135" s="15">
        <f>IF(Table1_2[[#This Row],[Salary]]="N/A",AVERAGEIF(Table1_2[Department],Table1_2[[#This Row],[Department]],Table1_2[Salary]),Table1_2[[#This Row],[Salary]])</f>
        <v>45758</v>
      </c>
      <c r="M135" s="16">
        <f>IF(Table1_2[[#This Row],[Date of Joining]]="",AVERAGEIF(Table1_2[Department],Table1_2[[#This Row],[Department]],Table1_2[Date of Joining]),Table1_2[[#This Row],[Date of Joining]])</f>
        <v>42939</v>
      </c>
      <c r="N135">
        <f>IF(Table1_2[[#This Row],[Performance Rating]]="",AVERAGEIF(Table1_2[Department],Table1_2[[#This Row],[Department]],Table1_2[Performance Rating]),Table1_2[[#This Row],[Performance Rating]])</f>
        <v>3</v>
      </c>
      <c r="O135">
        <f>ROUND(Table1_2[[#This Row],[Performance Rating2]],0)</f>
        <v>3</v>
      </c>
      <c r="P135" t="s">
        <v>180</v>
      </c>
      <c r="S135">
        <f>ROUND(VALUE(Table1_2[[#This Row],[Salary2]]),0)</f>
        <v>45758</v>
      </c>
      <c r="T135">
        <f>VALUE(Table1_2[[#This Row],[Performance Rating22]])</f>
        <v>3</v>
      </c>
    </row>
    <row r="136" spans="1:20" x14ac:dyDescent="0.35">
      <c r="A136" t="s">
        <v>143</v>
      </c>
      <c r="B136" t="s">
        <v>287</v>
      </c>
      <c r="C136">
        <v>1134</v>
      </c>
      <c r="D136" t="s">
        <v>159</v>
      </c>
      <c r="E136" t="s">
        <v>170</v>
      </c>
      <c r="F136" t="s">
        <v>174</v>
      </c>
      <c r="G136" s="13">
        <v>62476</v>
      </c>
      <c r="H136" s="16">
        <v>42946</v>
      </c>
      <c r="I136">
        <v>1</v>
      </c>
      <c r="J136" t="s">
        <v>179</v>
      </c>
      <c r="K136" t="s">
        <v>231</v>
      </c>
      <c r="L136" s="15">
        <f>IF(Table1_2[[#This Row],[Salary]]="N/A",AVERAGEIF(Table1_2[Department],Table1_2[[#This Row],[Department]],Table1_2[Salary]),Table1_2[[#This Row],[Salary]])</f>
        <v>62476</v>
      </c>
      <c r="M136" s="16">
        <f>IF(Table1_2[[#This Row],[Date of Joining]]="",AVERAGEIF(Table1_2[Department],Table1_2[[#This Row],[Department]],Table1_2[Date of Joining]),Table1_2[[#This Row],[Date of Joining]])</f>
        <v>42946</v>
      </c>
      <c r="N136">
        <f>IF(Table1_2[[#This Row],[Performance Rating]]="",AVERAGEIF(Table1_2[Department],Table1_2[[#This Row],[Department]],Table1_2[Performance Rating]),Table1_2[[#This Row],[Performance Rating]])</f>
        <v>1</v>
      </c>
      <c r="O136">
        <f>ROUND(Table1_2[[#This Row],[Performance Rating2]],0)</f>
        <v>1</v>
      </c>
      <c r="P136" t="s">
        <v>179</v>
      </c>
      <c r="S136">
        <f>ROUND(VALUE(Table1_2[[#This Row],[Salary2]]),0)</f>
        <v>62476</v>
      </c>
      <c r="T136">
        <f>VALUE(Table1_2[[#This Row],[Performance Rating22]])</f>
        <v>1</v>
      </c>
    </row>
    <row r="137" spans="1:20" x14ac:dyDescent="0.35">
      <c r="A137" t="s">
        <v>144</v>
      </c>
      <c r="B137" t="s">
        <v>287</v>
      </c>
      <c r="C137">
        <v>1135</v>
      </c>
      <c r="D137" t="s">
        <v>178</v>
      </c>
      <c r="E137" t="s">
        <v>169</v>
      </c>
      <c r="F137" t="s">
        <v>175</v>
      </c>
      <c r="G137" s="13">
        <v>39280</v>
      </c>
      <c r="H137" s="16">
        <v>42953</v>
      </c>
      <c r="I137">
        <v>3</v>
      </c>
      <c r="J137" t="s">
        <v>181</v>
      </c>
      <c r="K137" t="s">
        <v>214</v>
      </c>
      <c r="L137" s="15">
        <f>IF(Table1_2[[#This Row],[Salary]]="N/A",AVERAGEIF(Table1_2[Department],Table1_2[[#This Row],[Department]],Table1_2[Salary]),Table1_2[[#This Row],[Salary]])</f>
        <v>39280</v>
      </c>
      <c r="M137" s="16">
        <f>IF(Table1_2[[#This Row],[Date of Joining]]="",AVERAGEIF(Table1_2[Department],Table1_2[[#This Row],[Department]],Table1_2[Date of Joining]),Table1_2[[#This Row],[Date of Joining]])</f>
        <v>42953</v>
      </c>
      <c r="N137">
        <f>IF(Table1_2[[#This Row],[Performance Rating]]="",AVERAGEIF(Table1_2[Department],Table1_2[[#This Row],[Department]],Table1_2[Performance Rating]),Table1_2[[#This Row],[Performance Rating]])</f>
        <v>3</v>
      </c>
      <c r="O137">
        <f>ROUND(Table1_2[[#This Row],[Performance Rating2]],0)</f>
        <v>3</v>
      </c>
      <c r="P137" t="s">
        <v>181</v>
      </c>
      <c r="S137">
        <f>ROUND(VALUE(Table1_2[[#This Row],[Salary2]]),0)</f>
        <v>39280</v>
      </c>
      <c r="T137">
        <f>VALUE(Table1_2[[#This Row],[Performance Rating22]])</f>
        <v>3</v>
      </c>
    </row>
    <row r="138" spans="1:20" x14ac:dyDescent="0.35">
      <c r="A138" t="s">
        <v>145</v>
      </c>
      <c r="B138" t="s">
        <v>287</v>
      </c>
      <c r="C138">
        <v>1136</v>
      </c>
      <c r="D138" t="s">
        <v>162</v>
      </c>
      <c r="E138" t="s">
        <v>166</v>
      </c>
      <c r="F138" t="s">
        <v>174</v>
      </c>
      <c r="G138" s="13">
        <v>60335</v>
      </c>
      <c r="H138" s="16">
        <v>42960</v>
      </c>
      <c r="I138">
        <v>4</v>
      </c>
      <c r="J138" t="s">
        <v>179</v>
      </c>
      <c r="K138" t="s">
        <v>227</v>
      </c>
      <c r="L138" s="15">
        <f>IF(Table1_2[[#This Row],[Salary]]="N/A",AVERAGEIF(Table1_2[Department],Table1_2[[#This Row],[Department]],Table1_2[Salary]),Table1_2[[#This Row],[Salary]])</f>
        <v>60335</v>
      </c>
      <c r="M138" s="16">
        <f>IF(Table1_2[[#This Row],[Date of Joining]]="",AVERAGEIF(Table1_2[Department],Table1_2[[#This Row],[Department]],Table1_2[Date of Joining]),Table1_2[[#This Row],[Date of Joining]])</f>
        <v>42960</v>
      </c>
      <c r="N138">
        <f>IF(Table1_2[[#This Row],[Performance Rating]]="",AVERAGEIF(Table1_2[Department],Table1_2[[#This Row],[Department]],Table1_2[Performance Rating]),Table1_2[[#This Row],[Performance Rating]])</f>
        <v>4</v>
      </c>
      <c r="O138">
        <f>ROUND(Table1_2[[#This Row],[Performance Rating2]],0)</f>
        <v>4</v>
      </c>
      <c r="P138" t="s">
        <v>179</v>
      </c>
      <c r="S138">
        <f>ROUND(VALUE(Table1_2[[#This Row],[Salary2]]),0)</f>
        <v>60335</v>
      </c>
      <c r="T138">
        <f>VALUE(Table1_2[[#This Row],[Performance Rating22]])</f>
        <v>4</v>
      </c>
    </row>
    <row r="139" spans="1:20" x14ac:dyDescent="0.35">
      <c r="A139" t="s">
        <v>146</v>
      </c>
      <c r="B139" t="s">
        <v>287</v>
      </c>
      <c r="C139">
        <v>1137</v>
      </c>
      <c r="D139" t="s">
        <v>164</v>
      </c>
      <c r="E139" t="s">
        <v>167</v>
      </c>
      <c r="F139" t="s">
        <v>172</v>
      </c>
      <c r="G139" s="13">
        <v>84968</v>
      </c>
      <c r="H139" s="16">
        <v>42967</v>
      </c>
      <c r="K139" t="s">
        <v>276</v>
      </c>
      <c r="L139" s="15">
        <f>IF(Table1_2[[#This Row],[Salary]]="N/A",AVERAGEIF(Table1_2[Department],Table1_2[[#This Row],[Department]],Table1_2[Salary]),Table1_2[[#This Row],[Salary]])</f>
        <v>84968</v>
      </c>
      <c r="M139" s="16">
        <f>IF(Table1_2[[#This Row],[Date of Joining]]="",AVERAGEIF(Table1_2[Department],Table1_2[[#This Row],[Department]],Table1_2[Date of Joining]),Table1_2[[#This Row],[Date of Joining]])</f>
        <v>42967</v>
      </c>
      <c r="N139">
        <f>IF(Table1_2[[#This Row],[Performance Rating]]="",AVERAGEIF(Table1_2[Department],Table1_2[[#This Row],[Department]],Table1_2[Performance Rating]),Table1_2[[#This Row],[Performance Rating]])</f>
        <v>2.7</v>
      </c>
      <c r="O139">
        <f>ROUND(Table1_2[[#This Row],[Performance Rating2]],0)</f>
        <v>3</v>
      </c>
      <c r="P139" t="s">
        <v>180</v>
      </c>
      <c r="S139">
        <f>ROUND(VALUE(Table1_2[[#This Row],[Salary2]]),0)</f>
        <v>84968</v>
      </c>
      <c r="T139">
        <f>VALUE(Table1_2[[#This Row],[Performance Rating22]])</f>
        <v>3</v>
      </c>
    </row>
    <row r="140" spans="1:20" x14ac:dyDescent="0.35">
      <c r="A140" t="s">
        <v>147</v>
      </c>
      <c r="B140" t="s">
        <v>287</v>
      </c>
      <c r="C140">
        <v>1138</v>
      </c>
      <c r="D140" t="s">
        <v>164</v>
      </c>
      <c r="E140" t="s">
        <v>170</v>
      </c>
      <c r="F140" t="s">
        <v>176</v>
      </c>
      <c r="G140" s="13">
        <v>84750</v>
      </c>
      <c r="H140" s="16">
        <v>42974</v>
      </c>
      <c r="I140">
        <v>4</v>
      </c>
      <c r="J140" t="s">
        <v>181</v>
      </c>
      <c r="K140" t="s">
        <v>195</v>
      </c>
      <c r="L140" s="15">
        <f>IF(Table1_2[[#This Row],[Salary]]="N/A",AVERAGEIF(Table1_2[Department],Table1_2[[#This Row],[Department]],Table1_2[Salary]),Table1_2[[#This Row],[Salary]])</f>
        <v>84750</v>
      </c>
      <c r="M140" s="16">
        <f>IF(Table1_2[[#This Row],[Date of Joining]]="",AVERAGEIF(Table1_2[Department],Table1_2[[#This Row],[Department]],Table1_2[Date of Joining]),Table1_2[[#This Row],[Date of Joining]])</f>
        <v>42974</v>
      </c>
      <c r="N140">
        <f>IF(Table1_2[[#This Row],[Performance Rating]]="",AVERAGEIF(Table1_2[Department],Table1_2[[#This Row],[Department]],Table1_2[Performance Rating]),Table1_2[[#This Row],[Performance Rating]])</f>
        <v>4</v>
      </c>
      <c r="O140">
        <f>ROUND(Table1_2[[#This Row],[Performance Rating2]],0)</f>
        <v>4</v>
      </c>
      <c r="P140" t="s">
        <v>181</v>
      </c>
      <c r="S140">
        <f>ROUND(VALUE(Table1_2[[#This Row],[Salary2]]),0)</f>
        <v>84750</v>
      </c>
      <c r="T140">
        <f>VALUE(Table1_2[[#This Row],[Performance Rating22]])</f>
        <v>4</v>
      </c>
    </row>
    <row r="141" spans="1:20" x14ac:dyDescent="0.35">
      <c r="A141" t="s">
        <v>148</v>
      </c>
      <c r="B141" t="s">
        <v>287</v>
      </c>
      <c r="C141">
        <v>1139</v>
      </c>
      <c r="D141" t="s">
        <v>165</v>
      </c>
      <c r="E141" t="s">
        <v>169</v>
      </c>
      <c r="F141" t="s">
        <v>174</v>
      </c>
      <c r="G141" s="13">
        <v>73348</v>
      </c>
      <c r="H141" s="16">
        <v>42981</v>
      </c>
      <c r="I141">
        <v>2</v>
      </c>
      <c r="K141" t="s">
        <v>243</v>
      </c>
      <c r="L141" s="15">
        <f>IF(Table1_2[[#This Row],[Salary]]="N/A",AVERAGEIF(Table1_2[Department],Table1_2[[#This Row],[Department]],Table1_2[Salary]),Table1_2[[#This Row],[Salary]])</f>
        <v>73348</v>
      </c>
      <c r="M141" s="16">
        <f>IF(Table1_2[[#This Row],[Date of Joining]]="",AVERAGEIF(Table1_2[Department],Table1_2[[#This Row],[Department]],Table1_2[Date of Joining]),Table1_2[[#This Row],[Date of Joining]])</f>
        <v>42981</v>
      </c>
      <c r="N141">
        <f>IF(Table1_2[[#This Row],[Performance Rating]]="",AVERAGEIF(Table1_2[Department],Table1_2[[#This Row],[Department]],Table1_2[Performance Rating]),Table1_2[[#This Row],[Performance Rating]])</f>
        <v>2</v>
      </c>
      <c r="O141">
        <f>ROUND(Table1_2[[#This Row],[Performance Rating2]],0)</f>
        <v>2</v>
      </c>
      <c r="P141" t="s">
        <v>180</v>
      </c>
      <c r="S141">
        <f>ROUND(VALUE(Table1_2[[#This Row],[Salary2]]),0)</f>
        <v>73348</v>
      </c>
      <c r="T141">
        <f>VALUE(Table1_2[[#This Row],[Performance Rating22]])</f>
        <v>2</v>
      </c>
    </row>
    <row r="142" spans="1:20" x14ac:dyDescent="0.35">
      <c r="A142" t="s">
        <v>149</v>
      </c>
      <c r="B142" t="s">
        <v>287</v>
      </c>
      <c r="C142">
        <v>1140</v>
      </c>
      <c r="D142" t="s">
        <v>164</v>
      </c>
      <c r="E142" t="s">
        <v>168</v>
      </c>
      <c r="F142" t="s">
        <v>173</v>
      </c>
      <c r="G142" s="13" t="s">
        <v>177</v>
      </c>
      <c r="H142" s="16">
        <v>42988</v>
      </c>
      <c r="I142">
        <v>4</v>
      </c>
      <c r="J142" t="s">
        <v>179</v>
      </c>
      <c r="K142" t="s">
        <v>182</v>
      </c>
      <c r="L142" s="15">
        <f>IF(Table1_2[[#This Row],[Salary]]="N/A",AVERAGEIF(Table1_2[Department],Table1_2[[#This Row],[Department]],Table1_2[Salary]),Table1_2[[#This Row],[Salary]])</f>
        <v>67929.08</v>
      </c>
      <c r="M142" s="16">
        <f>IF(Table1_2[[#This Row],[Date of Joining]]="",AVERAGEIF(Table1_2[Department],Table1_2[[#This Row],[Department]],Table1_2[Date of Joining]),Table1_2[[#This Row],[Date of Joining]])</f>
        <v>42988</v>
      </c>
      <c r="N142">
        <f>IF(Table1_2[[#This Row],[Performance Rating]]="",AVERAGEIF(Table1_2[Department],Table1_2[[#This Row],[Department]],Table1_2[Performance Rating]),Table1_2[[#This Row],[Performance Rating]])</f>
        <v>4</v>
      </c>
      <c r="O142">
        <f>ROUND(Table1_2[[#This Row],[Performance Rating2]],0)</f>
        <v>4</v>
      </c>
      <c r="P142" t="s">
        <v>179</v>
      </c>
      <c r="S142">
        <f>ROUND(VALUE(Table1_2[[#This Row],[Salary2]]),0)</f>
        <v>67929</v>
      </c>
      <c r="T142">
        <f>VALUE(Table1_2[[#This Row],[Performance Rating22]])</f>
        <v>4</v>
      </c>
    </row>
    <row r="143" spans="1:20" x14ac:dyDescent="0.35">
      <c r="A143" t="s">
        <v>150</v>
      </c>
      <c r="B143" t="s">
        <v>287</v>
      </c>
      <c r="C143">
        <v>1141</v>
      </c>
      <c r="D143" t="s">
        <v>162</v>
      </c>
      <c r="E143" t="s">
        <v>170</v>
      </c>
      <c r="F143" t="s">
        <v>173</v>
      </c>
      <c r="G143" s="13">
        <v>66882</v>
      </c>
      <c r="H143" s="16">
        <v>42995</v>
      </c>
      <c r="I143">
        <v>5</v>
      </c>
      <c r="J143" t="s">
        <v>179</v>
      </c>
      <c r="K143" t="s">
        <v>207</v>
      </c>
      <c r="L143" s="15">
        <f>IF(Table1_2[[#This Row],[Salary]]="N/A",AVERAGEIF(Table1_2[Department],Table1_2[[#This Row],[Department]],Table1_2[Salary]),Table1_2[[#This Row],[Salary]])</f>
        <v>66882</v>
      </c>
      <c r="M143" s="16">
        <f>IF(Table1_2[[#This Row],[Date of Joining]]="",AVERAGEIF(Table1_2[Department],Table1_2[[#This Row],[Department]],Table1_2[Date of Joining]),Table1_2[[#This Row],[Date of Joining]])</f>
        <v>42995</v>
      </c>
      <c r="N143">
        <f>IF(Table1_2[[#This Row],[Performance Rating]]="",AVERAGEIF(Table1_2[Department],Table1_2[[#This Row],[Department]],Table1_2[Performance Rating]),Table1_2[[#This Row],[Performance Rating]])</f>
        <v>5</v>
      </c>
      <c r="O143">
        <f>ROUND(Table1_2[[#This Row],[Performance Rating2]],0)</f>
        <v>5</v>
      </c>
      <c r="P143" t="s">
        <v>179</v>
      </c>
      <c r="S143">
        <f>ROUND(VALUE(Table1_2[[#This Row],[Salary2]]),0)</f>
        <v>66882</v>
      </c>
      <c r="T143">
        <f>VALUE(Table1_2[[#This Row],[Performance Rating22]])</f>
        <v>5</v>
      </c>
    </row>
    <row r="144" spans="1:20" x14ac:dyDescent="0.35">
      <c r="A144" t="s">
        <v>151</v>
      </c>
      <c r="B144" t="s">
        <v>287</v>
      </c>
      <c r="C144">
        <v>1142</v>
      </c>
      <c r="D144" t="s">
        <v>160</v>
      </c>
      <c r="E144" t="s">
        <v>170</v>
      </c>
      <c r="F144" t="s">
        <v>174</v>
      </c>
      <c r="G144" s="13">
        <v>86775</v>
      </c>
      <c r="H144" s="16">
        <v>43002</v>
      </c>
      <c r="I144">
        <v>3</v>
      </c>
      <c r="J144" t="s">
        <v>179</v>
      </c>
      <c r="K144" t="s">
        <v>212</v>
      </c>
      <c r="L144" s="15">
        <f>IF(Table1_2[[#This Row],[Salary]]="N/A",AVERAGEIF(Table1_2[Department],Table1_2[[#This Row],[Department]],Table1_2[Salary]),Table1_2[[#This Row],[Salary]])</f>
        <v>86775</v>
      </c>
      <c r="M144" s="16">
        <f>IF(Table1_2[[#This Row],[Date of Joining]]="",AVERAGEIF(Table1_2[Department],Table1_2[[#This Row],[Department]],Table1_2[Date of Joining]),Table1_2[[#This Row],[Date of Joining]])</f>
        <v>43002</v>
      </c>
      <c r="N144">
        <f>IF(Table1_2[[#This Row],[Performance Rating]]="",AVERAGEIF(Table1_2[Department],Table1_2[[#This Row],[Department]],Table1_2[Performance Rating]),Table1_2[[#This Row],[Performance Rating]])</f>
        <v>3</v>
      </c>
      <c r="O144">
        <f>ROUND(Table1_2[[#This Row],[Performance Rating2]],0)</f>
        <v>3</v>
      </c>
      <c r="P144" t="s">
        <v>179</v>
      </c>
      <c r="S144">
        <f>ROUND(VALUE(Table1_2[[#This Row],[Salary2]]),0)</f>
        <v>86775</v>
      </c>
      <c r="T144">
        <f>VALUE(Table1_2[[#This Row],[Performance Rating22]])</f>
        <v>3</v>
      </c>
    </row>
    <row r="145" spans="1:20" x14ac:dyDescent="0.35">
      <c r="A145" t="s">
        <v>152</v>
      </c>
      <c r="B145" t="s">
        <v>287</v>
      </c>
      <c r="C145">
        <v>1143</v>
      </c>
      <c r="D145" t="s">
        <v>164</v>
      </c>
      <c r="E145" t="s">
        <v>168</v>
      </c>
      <c r="F145" t="s">
        <v>175</v>
      </c>
      <c r="G145" s="13">
        <v>91620</v>
      </c>
      <c r="H145" s="16">
        <v>43009</v>
      </c>
      <c r="K145" t="s">
        <v>277</v>
      </c>
      <c r="L145" s="15">
        <f>IF(Table1_2[[#This Row],[Salary]]="N/A",AVERAGEIF(Table1_2[Department],Table1_2[[#This Row],[Department]],Table1_2[Salary]),Table1_2[[#This Row],[Salary]])</f>
        <v>91620</v>
      </c>
      <c r="M145" s="16">
        <f>IF(Table1_2[[#This Row],[Date of Joining]]="",AVERAGEIF(Table1_2[Department],Table1_2[[#This Row],[Department]],Table1_2[Date of Joining]),Table1_2[[#This Row],[Date of Joining]])</f>
        <v>43009</v>
      </c>
      <c r="N145">
        <f>IF(Table1_2[[#This Row],[Performance Rating]]="",AVERAGEIF(Table1_2[Department],Table1_2[[#This Row],[Department]],Table1_2[Performance Rating]),Table1_2[[#This Row],[Performance Rating]])</f>
        <v>2.7272727272727271</v>
      </c>
      <c r="O145">
        <f>ROUND(Table1_2[[#This Row],[Performance Rating2]],0)</f>
        <v>3</v>
      </c>
      <c r="P145" t="s">
        <v>180</v>
      </c>
      <c r="S145">
        <f>ROUND(VALUE(Table1_2[[#This Row],[Salary2]]),0)</f>
        <v>91620</v>
      </c>
      <c r="T145">
        <f>VALUE(Table1_2[[#This Row],[Performance Rating22]])</f>
        <v>3</v>
      </c>
    </row>
    <row r="146" spans="1:20" x14ac:dyDescent="0.35">
      <c r="A146" t="s">
        <v>153</v>
      </c>
      <c r="B146" t="s">
        <v>287</v>
      </c>
      <c r="C146">
        <v>1144</v>
      </c>
      <c r="D146" t="s">
        <v>159</v>
      </c>
      <c r="E146" t="s">
        <v>170</v>
      </c>
      <c r="F146" t="s">
        <v>174</v>
      </c>
      <c r="G146" s="13">
        <v>94148</v>
      </c>
      <c r="H146" s="16">
        <v>43016</v>
      </c>
      <c r="I146">
        <v>2</v>
      </c>
      <c r="K146" t="s">
        <v>278</v>
      </c>
      <c r="L146" s="15">
        <f>IF(Table1_2[[#This Row],[Salary]]="N/A",AVERAGEIF(Table1_2[Department],Table1_2[[#This Row],[Department]],Table1_2[Salary]),Table1_2[[#This Row],[Salary]])</f>
        <v>94148</v>
      </c>
      <c r="M146" s="16">
        <f>IF(Table1_2[[#This Row],[Date of Joining]]="",AVERAGEIF(Table1_2[Department],Table1_2[[#This Row],[Department]],Table1_2[Date of Joining]),Table1_2[[#This Row],[Date of Joining]])</f>
        <v>43016</v>
      </c>
      <c r="N146">
        <f>IF(Table1_2[[#This Row],[Performance Rating]]="",AVERAGEIF(Table1_2[Department],Table1_2[[#This Row],[Department]],Table1_2[Performance Rating]),Table1_2[[#This Row],[Performance Rating]])</f>
        <v>2</v>
      </c>
      <c r="O146">
        <f>ROUND(Table1_2[[#This Row],[Performance Rating2]],0)</f>
        <v>2</v>
      </c>
      <c r="P146" t="s">
        <v>180</v>
      </c>
      <c r="S146">
        <f>ROUND(VALUE(Table1_2[[#This Row],[Salary2]]),0)</f>
        <v>94148</v>
      </c>
      <c r="T146">
        <f>VALUE(Table1_2[[#This Row],[Performance Rating22]])</f>
        <v>2</v>
      </c>
    </row>
    <row r="147" spans="1:20" x14ac:dyDescent="0.35">
      <c r="A147" t="s">
        <v>154</v>
      </c>
      <c r="B147" t="s">
        <v>287</v>
      </c>
      <c r="C147">
        <v>1145</v>
      </c>
      <c r="D147" t="s">
        <v>163</v>
      </c>
      <c r="E147" t="s">
        <v>168</v>
      </c>
      <c r="F147" t="s">
        <v>176</v>
      </c>
      <c r="G147" s="13">
        <v>35627</v>
      </c>
      <c r="H147" s="16">
        <v>43023</v>
      </c>
      <c r="I147">
        <v>5</v>
      </c>
      <c r="J147" t="s">
        <v>181</v>
      </c>
      <c r="K147" t="s">
        <v>275</v>
      </c>
      <c r="L147" s="15">
        <f>IF(Table1_2[[#This Row],[Salary]]="N/A",AVERAGEIF(Table1_2[Department],Table1_2[[#This Row],[Department]],Table1_2[Salary]),Table1_2[[#This Row],[Salary]])</f>
        <v>35627</v>
      </c>
      <c r="M147" s="16">
        <f>IF(Table1_2[[#This Row],[Date of Joining]]="",AVERAGEIF(Table1_2[Department],Table1_2[[#This Row],[Department]],Table1_2[Date of Joining]),Table1_2[[#This Row],[Date of Joining]])</f>
        <v>43023</v>
      </c>
      <c r="N147">
        <f>IF(Table1_2[[#This Row],[Performance Rating]]="",AVERAGEIF(Table1_2[Department],Table1_2[[#This Row],[Department]],Table1_2[Performance Rating]),Table1_2[[#This Row],[Performance Rating]])</f>
        <v>5</v>
      </c>
      <c r="O147">
        <f>ROUND(Table1_2[[#This Row],[Performance Rating2]],0)</f>
        <v>5</v>
      </c>
      <c r="P147" t="s">
        <v>181</v>
      </c>
      <c r="S147">
        <f>ROUND(VALUE(Table1_2[[#This Row],[Salary2]]),0)</f>
        <v>35627</v>
      </c>
      <c r="T147">
        <f>VALUE(Table1_2[[#This Row],[Performance Rating22]])</f>
        <v>5</v>
      </c>
    </row>
    <row r="148" spans="1:20" x14ac:dyDescent="0.35">
      <c r="A148" t="s">
        <v>155</v>
      </c>
      <c r="B148" t="s">
        <v>287</v>
      </c>
      <c r="C148">
        <v>1146</v>
      </c>
      <c r="D148" t="s">
        <v>161</v>
      </c>
      <c r="E148" t="s">
        <v>170</v>
      </c>
      <c r="F148" t="s">
        <v>173</v>
      </c>
      <c r="G148" s="13">
        <v>57141</v>
      </c>
      <c r="H148" s="16">
        <v>43030</v>
      </c>
      <c r="I148">
        <v>2</v>
      </c>
      <c r="K148" t="s">
        <v>276</v>
      </c>
      <c r="L148" s="15">
        <f>IF(Table1_2[[#This Row],[Salary]]="N/A",AVERAGEIF(Table1_2[Department],Table1_2[[#This Row],[Department]],Table1_2[Salary]),Table1_2[[#This Row],[Salary]])</f>
        <v>57141</v>
      </c>
      <c r="M148" s="16">
        <f>IF(Table1_2[[#This Row],[Date of Joining]]="",AVERAGEIF(Table1_2[Department],Table1_2[[#This Row],[Department]],Table1_2[Date of Joining]),Table1_2[[#This Row],[Date of Joining]])</f>
        <v>43030</v>
      </c>
      <c r="N148">
        <f>IF(Table1_2[[#This Row],[Performance Rating]]="",AVERAGEIF(Table1_2[Department],Table1_2[[#This Row],[Department]],Table1_2[Performance Rating]),Table1_2[[#This Row],[Performance Rating]])</f>
        <v>2</v>
      </c>
      <c r="O148">
        <f>ROUND(Table1_2[[#This Row],[Performance Rating2]],0)</f>
        <v>2</v>
      </c>
      <c r="P148" t="s">
        <v>180</v>
      </c>
      <c r="S148">
        <f>ROUND(VALUE(Table1_2[[#This Row],[Salary2]]),0)</f>
        <v>57141</v>
      </c>
      <c r="T148">
        <f>VALUE(Table1_2[[#This Row],[Performance Rating22]])</f>
        <v>2</v>
      </c>
    </row>
    <row r="149" spans="1:20" x14ac:dyDescent="0.35">
      <c r="A149" t="s">
        <v>156</v>
      </c>
      <c r="B149" t="s">
        <v>287</v>
      </c>
      <c r="C149">
        <v>1147</v>
      </c>
      <c r="D149" t="s">
        <v>165</v>
      </c>
      <c r="E149" t="s">
        <v>168</v>
      </c>
      <c r="F149" t="s">
        <v>176</v>
      </c>
      <c r="G149" s="13">
        <v>65270</v>
      </c>
      <c r="H149" s="16">
        <v>43037</v>
      </c>
      <c r="I149">
        <v>1</v>
      </c>
      <c r="K149" t="s">
        <v>279</v>
      </c>
      <c r="L149" s="15">
        <f>IF(Table1_2[[#This Row],[Salary]]="N/A",AVERAGEIF(Table1_2[Department],Table1_2[[#This Row],[Department]],Table1_2[Salary]),Table1_2[[#This Row],[Salary]])</f>
        <v>65270</v>
      </c>
      <c r="M149" s="16">
        <f>IF(Table1_2[[#This Row],[Date of Joining]]="",AVERAGEIF(Table1_2[Department],Table1_2[[#This Row],[Department]],Table1_2[Date of Joining]),Table1_2[[#This Row],[Date of Joining]])</f>
        <v>43037</v>
      </c>
      <c r="N149">
        <f>IF(Table1_2[[#This Row],[Performance Rating]]="",AVERAGEIF(Table1_2[Department],Table1_2[[#This Row],[Department]],Table1_2[Performance Rating]),Table1_2[[#This Row],[Performance Rating]])</f>
        <v>1</v>
      </c>
      <c r="O149">
        <f>ROUND(Table1_2[[#This Row],[Performance Rating2]],0)</f>
        <v>1</v>
      </c>
      <c r="P149" t="s">
        <v>180</v>
      </c>
      <c r="S149">
        <f>ROUND(VALUE(Table1_2[[#This Row],[Salary2]]),0)</f>
        <v>65270</v>
      </c>
      <c r="T149">
        <f>VALUE(Table1_2[[#This Row],[Performance Rating22]])</f>
        <v>1</v>
      </c>
    </row>
    <row r="150" spans="1:20" x14ac:dyDescent="0.35">
      <c r="A150" t="s">
        <v>157</v>
      </c>
      <c r="B150" t="s">
        <v>287</v>
      </c>
      <c r="C150">
        <v>1148</v>
      </c>
      <c r="D150" t="s">
        <v>165</v>
      </c>
      <c r="E150" t="s">
        <v>170</v>
      </c>
      <c r="F150" t="s">
        <v>175</v>
      </c>
      <c r="G150" s="13">
        <v>67335</v>
      </c>
      <c r="H150" s="16">
        <v>43044</v>
      </c>
      <c r="I150">
        <v>1</v>
      </c>
      <c r="J150" t="s">
        <v>179</v>
      </c>
      <c r="K150" t="s">
        <v>233</v>
      </c>
      <c r="L150" s="15">
        <f>IF(Table1_2[[#This Row],[Salary]]="N/A",AVERAGEIF(Table1_2[Department],Table1_2[[#This Row],[Department]],Table1_2[Salary]),Table1_2[[#This Row],[Salary]])</f>
        <v>67335</v>
      </c>
      <c r="M150" s="16">
        <f>IF(Table1_2[[#This Row],[Date of Joining]]="",AVERAGEIF(Table1_2[Department],Table1_2[[#This Row],[Department]],Table1_2[Date of Joining]),Table1_2[[#This Row],[Date of Joining]])</f>
        <v>43044</v>
      </c>
      <c r="N150">
        <f>IF(Table1_2[[#This Row],[Performance Rating]]="",AVERAGEIF(Table1_2[Department],Table1_2[[#This Row],[Department]],Table1_2[Performance Rating]),Table1_2[[#This Row],[Performance Rating]])</f>
        <v>1</v>
      </c>
      <c r="O150">
        <f>ROUND(Table1_2[[#This Row],[Performance Rating2]],0)</f>
        <v>1</v>
      </c>
      <c r="P150" t="s">
        <v>179</v>
      </c>
      <c r="S150">
        <f>ROUND(VALUE(Table1_2[[#This Row],[Salary2]]),0)</f>
        <v>67335</v>
      </c>
      <c r="T150">
        <f>VALUE(Table1_2[[#This Row],[Performance Rating22]])</f>
        <v>1</v>
      </c>
    </row>
    <row r="151" spans="1:20" x14ac:dyDescent="0.35">
      <c r="A151" t="s">
        <v>158</v>
      </c>
      <c r="B151" t="s">
        <v>287</v>
      </c>
      <c r="C151">
        <v>1149</v>
      </c>
      <c r="D151" t="s">
        <v>163</v>
      </c>
      <c r="E151" t="s">
        <v>170</v>
      </c>
      <c r="F151" t="s">
        <v>174</v>
      </c>
      <c r="G151" s="13">
        <v>98475</v>
      </c>
      <c r="H151" s="16">
        <v>43051</v>
      </c>
      <c r="I151">
        <v>5</v>
      </c>
      <c r="J151" t="s">
        <v>179</v>
      </c>
      <c r="K151" t="s">
        <v>280</v>
      </c>
      <c r="L151" s="15">
        <f>IF(Table1_2[[#This Row],[Salary]]="N/A",AVERAGEIF(Table1_2[Department],Table1_2[[#This Row],[Department]],Table1_2[Salary]),Table1_2[[#This Row],[Salary]])</f>
        <v>98475</v>
      </c>
      <c r="M151" s="16">
        <f>IF(Table1_2[[#This Row],[Date of Joining]]="",AVERAGEIF(Table1_2[Department],Table1_2[[#This Row],[Department]],Table1_2[Date of Joining]),Table1_2[[#This Row],[Date of Joining]])</f>
        <v>43051</v>
      </c>
      <c r="N151">
        <f>IF(Table1_2[[#This Row],[Performance Rating]]="",AVERAGEIF(Table1_2[Department],Table1_2[[#This Row],[Department]],Table1_2[Performance Rating]),Table1_2[[#This Row],[Performance Rating]])</f>
        <v>5</v>
      </c>
      <c r="O151">
        <f>ROUND(Table1_2[[#This Row],[Performance Rating2]],0)</f>
        <v>5</v>
      </c>
      <c r="P151" t="s">
        <v>179</v>
      </c>
      <c r="S151">
        <f>ROUND(VALUE(Table1_2[[#This Row],[Salary2]]),0)</f>
        <v>98475</v>
      </c>
      <c r="T151">
        <f>VALUE(Table1_2[[#This Row],[Performance Rating22]])</f>
        <v>5</v>
      </c>
    </row>
  </sheetData>
  <mergeCells count="2">
    <mergeCell ref="V1:W1"/>
    <mergeCell ref="X1:Y1"/>
  </mergeCells>
  <conditionalFormatting sqref="L2:L151">
    <cfRule type="cellIs" dxfId="15" priority="7" operator="lessThan">
      <formula>50000</formula>
    </cfRule>
    <cfRule type="cellIs" dxfId="14" priority="8" operator="greaterThan">
      <formula>80000</formula>
    </cfRule>
    <cfRule type="cellIs" dxfId="13" priority="9" operator="greaterThan">
      <formula>50000</formula>
    </cfRule>
  </conditionalFormatting>
  <conditionalFormatting sqref="O1:O1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{E78704F3-BC8B-413A-80EE-FE0EA47B4B79}</x14:id>
        </ext>
      </extLst>
    </cfRule>
  </conditionalFormatting>
  <conditionalFormatting sqref="P2:P151">
    <cfRule type="cellIs" dxfId="12" priority="1" operator="equal">
      <formula>"Unknown"</formula>
    </cfRule>
    <cfRule type="cellIs" dxfId="11" priority="2" operator="equal">
      <formula>"Other"</formula>
    </cfRule>
    <cfRule type="cellIs" dxfId="10" priority="3" operator="equal">
      <formula>"Female"</formula>
    </cfRule>
    <cfRule type="cellIs" dxfId="9" priority="4" operator="equal">
      <formula>"Male"</formula>
    </cfRule>
    <cfRule type="containsText" dxfId="8" priority="5" operator="containsText" text="Male">
      <formula>NOT(ISERROR(SEARCH("Male",P2)))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704F3-BC8B-413A-80EE-FE0EA47B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O1:O151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930E-0149-46F5-94A1-94F25C1221B7}">
  <dimension ref="A1:E16"/>
  <sheetViews>
    <sheetView tabSelected="1" workbookViewId="0">
      <selection activeCell="B3" sqref="B3"/>
    </sheetView>
  </sheetViews>
  <sheetFormatPr defaultRowHeight="14.5" x14ac:dyDescent="0.35"/>
  <cols>
    <col min="1" max="1" width="28.54296875" customWidth="1"/>
    <col min="2" max="2" width="11.26953125" bestFit="1" customWidth="1"/>
    <col min="3" max="3" width="11.453125" bestFit="1" customWidth="1"/>
    <col min="4" max="4" width="7.26953125" bestFit="1" customWidth="1"/>
    <col min="5" max="5" width="17.54296875" bestFit="1" customWidth="1"/>
  </cols>
  <sheetData>
    <row r="1" spans="1:5" x14ac:dyDescent="0.35">
      <c r="A1" s="31" t="s">
        <v>302</v>
      </c>
      <c r="B1" s="31"/>
      <c r="C1" s="31"/>
      <c r="D1" s="31"/>
      <c r="E1" s="31"/>
    </row>
    <row r="3" spans="1:5" ht="14.5" customHeight="1" x14ac:dyDescent="0.35">
      <c r="A3" s="28" t="s">
        <v>304</v>
      </c>
      <c r="B3" s="19" t="s">
        <v>0</v>
      </c>
      <c r="C3" s="19" t="s">
        <v>1</v>
      </c>
      <c r="D3" s="19" t="s">
        <v>4</v>
      </c>
      <c r="E3" s="19" t="s">
        <v>6</v>
      </c>
    </row>
    <row r="4" spans="1:5" x14ac:dyDescent="0.35">
      <c r="A4" s="29"/>
      <c r="B4" s="20" t="s">
        <v>158</v>
      </c>
      <c r="C4" s="20" t="s">
        <v>163</v>
      </c>
      <c r="D4" s="32">
        <v>98475</v>
      </c>
      <c r="E4" s="21">
        <v>5</v>
      </c>
    </row>
    <row r="5" spans="1:5" x14ac:dyDescent="0.35">
      <c r="A5" s="29"/>
      <c r="B5" s="22" t="s">
        <v>71</v>
      </c>
      <c r="C5" s="22" t="s">
        <v>164</v>
      </c>
      <c r="D5" s="32">
        <v>97981</v>
      </c>
      <c r="E5" s="21">
        <v>5</v>
      </c>
    </row>
    <row r="6" spans="1:5" x14ac:dyDescent="0.35">
      <c r="A6" s="29"/>
      <c r="B6" s="22" t="s">
        <v>21</v>
      </c>
      <c r="C6" s="22" t="s">
        <v>165</v>
      </c>
      <c r="D6" s="32">
        <v>96418</v>
      </c>
      <c r="E6" s="21">
        <v>5</v>
      </c>
    </row>
    <row r="7" spans="1:5" x14ac:dyDescent="0.35">
      <c r="A7" s="29"/>
      <c r="B7" s="20" t="s">
        <v>38</v>
      </c>
      <c r="C7" s="20" t="s">
        <v>165</v>
      </c>
      <c r="D7" s="32">
        <v>92959</v>
      </c>
      <c r="E7" s="21">
        <v>5</v>
      </c>
    </row>
    <row r="8" spans="1:5" x14ac:dyDescent="0.35">
      <c r="A8" s="30"/>
      <c r="B8" s="20" t="s">
        <v>20</v>
      </c>
      <c r="C8" s="20" t="s">
        <v>163</v>
      </c>
      <c r="D8" s="32">
        <v>91180</v>
      </c>
      <c r="E8" s="21">
        <v>5</v>
      </c>
    </row>
    <row r="11" spans="1:5" ht="14.5" customHeight="1" x14ac:dyDescent="0.35">
      <c r="A11" s="28" t="s">
        <v>303</v>
      </c>
      <c r="B11" s="25" t="s">
        <v>0</v>
      </c>
      <c r="C11" s="25" t="s">
        <v>1</v>
      </c>
      <c r="D11" s="25" t="s">
        <v>4</v>
      </c>
      <c r="E11" s="25" t="s">
        <v>6</v>
      </c>
    </row>
    <row r="12" spans="1:5" x14ac:dyDescent="0.35">
      <c r="A12" s="29"/>
      <c r="B12" s="24" t="s">
        <v>61</v>
      </c>
      <c r="C12" s="24" t="s">
        <v>159</v>
      </c>
      <c r="D12" s="33">
        <v>30280</v>
      </c>
      <c r="E12" s="1">
        <v>1</v>
      </c>
    </row>
    <row r="13" spans="1:5" x14ac:dyDescent="0.35">
      <c r="A13" s="29"/>
      <c r="B13" s="23" t="s">
        <v>137</v>
      </c>
      <c r="C13" s="23" t="s">
        <v>164</v>
      </c>
      <c r="D13" s="33">
        <v>30402</v>
      </c>
      <c r="E13" s="1">
        <v>1</v>
      </c>
    </row>
    <row r="14" spans="1:5" x14ac:dyDescent="0.35">
      <c r="A14" s="29"/>
      <c r="B14" s="23" t="s">
        <v>26</v>
      </c>
      <c r="C14" s="23" t="s">
        <v>162</v>
      </c>
      <c r="D14" s="33">
        <v>41341</v>
      </c>
      <c r="E14" s="1">
        <v>1</v>
      </c>
    </row>
    <row r="15" spans="1:5" x14ac:dyDescent="0.35">
      <c r="A15" s="29"/>
      <c r="B15" s="23" t="s">
        <v>91</v>
      </c>
      <c r="C15" s="24" t="s">
        <v>159</v>
      </c>
      <c r="D15" s="33">
        <v>42262</v>
      </c>
      <c r="E15" s="1">
        <v>1</v>
      </c>
    </row>
    <row r="16" spans="1:5" x14ac:dyDescent="0.35">
      <c r="A16" s="30"/>
      <c r="B16" s="24" t="s">
        <v>122</v>
      </c>
      <c r="C16" s="24" t="s">
        <v>160</v>
      </c>
      <c r="D16" s="33">
        <v>47653</v>
      </c>
      <c r="E16" s="1">
        <v>1</v>
      </c>
    </row>
  </sheetData>
  <mergeCells count="3">
    <mergeCell ref="A11:A16"/>
    <mergeCell ref="A1:E1"/>
    <mergeCell ref="A3:A8"/>
  </mergeCells>
  <conditionalFormatting sqref="E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{925B95D6-7FD8-4937-8F70-046A34625136}</x14:id>
        </ext>
      </extLst>
    </cfRule>
  </conditionalFormatting>
  <conditionalFormatting sqref="E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{24CA0AD2-1FA2-4CFD-9E79-58FD420423BC}</x14:id>
        </ext>
      </extLst>
    </cfRule>
  </conditionalFormatting>
  <conditionalFormatting sqref="D4:D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{D09BD054-2359-4F72-8F6E-77136B21BDA6}</x14:id>
        </ext>
      </extLst>
    </cfRule>
  </conditionalFormatting>
  <conditionalFormatting sqref="D12:D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{E323211E-1A85-46E9-955D-3C71C0DDA974}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5B95D6-7FD8-4937-8F70-046A346251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24CA0AD2-1FA2-4CFD-9E79-58FD420423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D09BD054-2359-4F72-8F6E-77136B21BD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D4:D8</xm:sqref>
        </x14:conditionalFormatting>
        <x14:conditionalFormatting xmlns:xm="http://schemas.microsoft.com/office/excel/2006/main">
          <x14:cfRule type="dataBar" id="{E323211E-1A85-46E9-955D-3C71C0DDA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D12:D16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AE87F-4648-4506-A988-375620448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 2</vt:lpstr>
      <vt:lpstr>Cleaned data</vt:lpstr>
      <vt:lpstr>Mini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2025-11-29T08:34:42Z</dcterms:modified>
</cp:coreProperties>
</file>