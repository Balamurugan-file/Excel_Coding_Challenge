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24226"/>
  <mc:AlternateContent xmlns:mc="http://schemas.openxmlformats.org/markup-compatibility/2006">
    <mc:Choice Requires="x15">
      <x15ac:absPath xmlns:x15ac="http://schemas.microsoft.com/office/spreadsheetml/2010/11/ac" url="D:\Entri\Excel\Coading_Challenge\Tasks\Day 17 to 19\"/>
    </mc:Choice>
  </mc:AlternateContent>
  <xr:revisionPtr revIDLastSave="0" documentId="13_ncr:1_{2A6436A5-15CB-495A-9E5D-A5039522DE25}" xr6:coauthVersionLast="36" xr6:coauthVersionMax="36" xr10:uidLastSave="{00000000-0000-0000-0000-000000000000}"/>
  <bookViews>
    <workbookView xWindow="240" yWindow="20" windowWidth="16100" windowHeight="9660" activeTab="4" xr2:uid="{00000000-000D-0000-FFFF-FFFF00000000}"/>
  </bookViews>
  <sheets>
    <sheet name="Sheet1" sheetId="1" r:id="rId1"/>
    <sheet name="Sheet 2" sheetId="3" state="hidden" r:id="rId2"/>
    <sheet name="Cleaned data" sheetId="4" r:id="rId3"/>
    <sheet name="Pivot table" sheetId="9" r:id="rId4"/>
    <sheet name="Dashboard" sheetId="10" r:id="rId5"/>
    <sheet name="Mini Report" sheetId="5" state="hidden" r:id="rId6"/>
  </sheets>
  <definedNames>
    <definedName name="_xlnm._FilterDatabase" localSheetId="2" hidden="1">'Cleaned data'!#REF!</definedName>
    <definedName name="_xlnm._FilterDatabase" localSheetId="5" hidden="1">'Mini Report'!$A$11:$E$16</definedName>
    <definedName name="_xlnm._FilterDatabase" localSheetId="1" hidden="1">'Sheet 2'!$A$1:$I$151</definedName>
    <definedName name="_xlnm._FilterDatabase" localSheetId="0" hidden="1">Sheet1!$A$1:$I$151</definedName>
    <definedName name="ExternalData_1" localSheetId="2" hidden="1">'Cleaned data'!$A$1:$K$151</definedName>
    <definedName name="ExternalData_1" localSheetId="5" hidden="1">'Mini Report'!#REF!</definedName>
    <definedName name="Slicer_Country">#N/A</definedName>
    <definedName name="Slicer_Department">#N/A</definedName>
    <definedName name="Slicer_Gender2">#N/A</definedName>
  </definedNames>
  <calcPr calcId="191029"/>
  <pivotCaches>
    <pivotCache cacheId="3"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U2" i="4" l="1"/>
  <c r="U3" i="4"/>
  <c r="U4" i="4"/>
  <c r="U5" i="4"/>
  <c r="U6" i="4"/>
  <c r="U7" i="4"/>
  <c r="U8" i="4"/>
  <c r="U9" i="4"/>
  <c r="U10" i="4"/>
  <c r="U11" i="4"/>
  <c r="U12" i="4"/>
  <c r="U13" i="4"/>
  <c r="U14" i="4"/>
  <c r="U15" i="4"/>
  <c r="U16" i="4"/>
  <c r="U17" i="4"/>
  <c r="U18" i="4"/>
  <c r="U19" i="4"/>
  <c r="U20" i="4"/>
  <c r="U21" i="4"/>
  <c r="U22" i="4"/>
  <c r="U23" i="4"/>
  <c r="U24" i="4"/>
  <c r="U25" i="4"/>
  <c r="U26" i="4"/>
  <c r="U27" i="4"/>
  <c r="U28" i="4"/>
  <c r="U29" i="4"/>
  <c r="U30" i="4"/>
  <c r="U31" i="4"/>
  <c r="U32" i="4"/>
  <c r="U33" i="4"/>
  <c r="U34" i="4"/>
  <c r="U35" i="4"/>
  <c r="U36" i="4"/>
  <c r="U37" i="4"/>
  <c r="U38" i="4"/>
  <c r="U39" i="4"/>
  <c r="U40" i="4"/>
  <c r="U41" i="4"/>
  <c r="U42" i="4"/>
  <c r="U43" i="4"/>
  <c r="U44" i="4"/>
  <c r="U45" i="4"/>
  <c r="U46" i="4"/>
  <c r="U47" i="4"/>
  <c r="U48" i="4"/>
  <c r="U49" i="4"/>
  <c r="U50" i="4"/>
  <c r="U51" i="4"/>
  <c r="U52" i="4"/>
  <c r="U53" i="4"/>
  <c r="U54" i="4"/>
  <c r="U55" i="4"/>
  <c r="U56" i="4"/>
  <c r="U57" i="4"/>
  <c r="U58" i="4"/>
  <c r="U59" i="4"/>
  <c r="U60" i="4"/>
  <c r="U61" i="4"/>
  <c r="U62" i="4"/>
  <c r="U63" i="4"/>
  <c r="U64" i="4"/>
  <c r="U65" i="4"/>
  <c r="U66" i="4"/>
  <c r="U67" i="4"/>
  <c r="U68" i="4"/>
  <c r="U69" i="4"/>
  <c r="U70" i="4"/>
  <c r="U71" i="4"/>
  <c r="U72" i="4"/>
  <c r="U73" i="4"/>
  <c r="U74" i="4"/>
  <c r="U75" i="4"/>
  <c r="U76" i="4"/>
  <c r="U77" i="4"/>
  <c r="U78" i="4"/>
  <c r="U79" i="4"/>
  <c r="U80" i="4"/>
  <c r="U81" i="4"/>
  <c r="U82" i="4"/>
  <c r="U83" i="4"/>
  <c r="U84" i="4"/>
  <c r="U85" i="4"/>
  <c r="U86" i="4"/>
  <c r="U87" i="4"/>
  <c r="U88" i="4"/>
  <c r="U89" i="4"/>
  <c r="U90" i="4"/>
  <c r="U91" i="4"/>
  <c r="U92" i="4"/>
  <c r="U93" i="4"/>
  <c r="U94" i="4"/>
  <c r="U95" i="4"/>
  <c r="U96" i="4"/>
  <c r="U97" i="4"/>
  <c r="U98" i="4"/>
  <c r="U99" i="4"/>
  <c r="U100" i="4"/>
  <c r="U101" i="4"/>
  <c r="U102" i="4"/>
  <c r="U103" i="4"/>
  <c r="U104" i="4"/>
  <c r="U105" i="4"/>
  <c r="U106" i="4"/>
  <c r="U107" i="4"/>
  <c r="U108" i="4"/>
  <c r="U109" i="4"/>
  <c r="U110" i="4"/>
  <c r="U111" i="4"/>
  <c r="U112" i="4"/>
  <c r="U113" i="4"/>
  <c r="U114" i="4"/>
  <c r="U115" i="4"/>
  <c r="U116" i="4"/>
  <c r="U117" i="4"/>
  <c r="U118" i="4"/>
  <c r="U119" i="4"/>
  <c r="U120" i="4"/>
  <c r="U121" i="4"/>
  <c r="U122" i="4"/>
  <c r="U123" i="4"/>
  <c r="U124" i="4"/>
  <c r="U125" i="4"/>
  <c r="U126" i="4"/>
  <c r="U127" i="4"/>
  <c r="U128" i="4"/>
  <c r="U129" i="4"/>
  <c r="U130" i="4"/>
  <c r="U131" i="4"/>
  <c r="U132" i="4"/>
  <c r="U133" i="4"/>
  <c r="U134" i="4"/>
  <c r="U135" i="4"/>
  <c r="U136" i="4"/>
  <c r="U137" i="4"/>
  <c r="U138" i="4"/>
  <c r="U139" i="4"/>
  <c r="U140" i="4"/>
  <c r="U141" i="4"/>
  <c r="U142" i="4"/>
  <c r="U143" i="4"/>
  <c r="U144" i="4"/>
  <c r="U145" i="4"/>
  <c r="U146" i="4"/>
  <c r="U147" i="4"/>
  <c r="U148" i="4"/>
  <c r="U149" i="4"/>
  <c r="U150" i="4"/>
  <c r="U151"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274EE20-28E7-45F4-8192-9D443821D111}" keepAlive="1" name="Query - Table1" description="Connection to the 'Table1' query in the workbook." type="5" refreshedVersion="6" background="1" saveData="1">
    <dbPr connection="Provider=Microsoft.Mashup.OleDb.1;Data Source=$Workbook$;Location=Table1;Extended Properties=&quot;&quot;" command="SELECT * FROM [Table1]"/>
  </connection>
  <connection id="2" xr16:uid="{5B50B6A0-1727-40FA-924A-8F59037E7B22}" keepAlive="1" name="Query - Table1 (2)" description="Connection to the 'Table1 (2)' query in the workbook." type="5" refreshedVersion="6" background="1" saveData="1">
    <dbPr connection="Provider=Microsoft.Mashup.OleDb.1;Data Source=$Workbook$;Location=&quot;Table1 (2)&quot;;Extended Properties=&quot;&quot;" command="SELECT * FROM [Table1 (2)]"/>
  </connection>
  <connection id="3" xr16:uid="{0A3F9479-158F-44D8-A02C-BED7AE41AFF3}" keepAlive="1" name="Query - Table1 (3)" description="Connection to the 'Table1 (3)' query in the workbook." type="5" refreshedVersion="6" background="1" saveData="1">
    <dbPr connection="Provider=Microsoft.Mashup.OleDb.1;Data Source=$Workbook$;Location=&quot;Table1 (3)&quot;;Extended Properties=&quot;&quot;" command="SELECT * FROM [Table1 (3)]"/>
  </connection>
</connections>
</file>

<file path=xl/sharedStrings.xml><?xml version="1.0" encoding="utf-8"?>
<sst xmlns="http://schemas.openxmlformats.org/spreadsheetml/2006/main" count="3042" uniqueCount="313">
  <si>
    <t>Employee ID</t>
  </si>
  <si>
    <t>Name</t>
  </si>
  <si>
    <t>Department</t>
  </si>
  <si>
    <t>Country</t>
  </si>
  <si>
    <t>Salary</t>
  </si>
  <si>
    <t>Date of Joining</t>
  </si>
  <si>
    <t>Performance Rating</t>
  </si>
  <si>
    <t>Gender</t>
  </si>
  <si>
    <t>Email</t>
  </si>
  <si>
    <t>EMP1000</t>
  </si>
  <si>
    <t>EMP1001</t>
  </si>
  <si>
    <t>EMP1002</t>
  </si>
  <si>
    <t>EMP1003</t>
  </si>
  <si>
    <t>EMP1004</t>
  </si>
  <si>
    <t>EMP1005</t>
  </si>
  <si>
    <t>EMP1006</t>
  </si>
  <si>
    <t>EMP1007</t>
  </si>
  <si>
    <t>EMP1008</t>
  </si>
  <si>
    <t>EMP1009</t>
  </si>
  <si>
    <t>EMP1010</t>
  </si>
  <si>
    <t>EMP1011</t>
  </si>
  <si>
    <t>EMP1012</t>
  </si>
  <si>
    <t>EMP1013</t>
  </si>
  <si>
    <t>EMP1014</t>
  </si>
  <si>
    <t>EMP1015</t>
  </si>
  <si>
    <t>EMP1016</t>
  </si>
  <si>
    <t>EMP1017</t>
  </si>
  <si>
    <t>EMP1018</t>
  </si>
  <si>
    <t>EMP1019</t>
  </si>
  <si>
    <t>EMP1020</t>
  </si>
  <si>
    <t>EMP1021</t>
  </si>
  <si>
    <t>EMP1022</t>
  </si>
  <si>
    <t>EMP1023</t>
  </si>
  <si>
    <t>EMP1024</t>
  </si>
  <si>
    <t>EMP1025</t>
  </si>
  <si>
    <t>EMP1026</t>
  </si>
  <si>
    <t>EMP1027</t>
  </si>
  <si>
    <t>EMP1028</t>
  </si>
  <si>
    <t>EMP1029</t>
  </si>
  <si>
    <t>EMP1030</t>
  </si>
  <si>
    <t>EMP1031</t>
  </si>
  <si>
    <t>EMP1032</t>
  </si>
  <si>
    <t>EMP1033</t>
  </si>
  <si>
    <t>EMP1034</t>
  </si>
  <si>
    <t>EMP1035</t>
  </si>
  <si>
    <t>EMP1036</t>
  </si>
  <si>
    <t>EMP1037</t>
  </si>
  <si>
    <t>EMP1038</t>
  </si>
  <si>
    <t>EMP1039</t>
  </si>
  <si>
    <t>EMP1040</t>
  </si>
  <si>
    <t>EMP1041</t>
  </si>
  <si>
    <t>EMP1042</t>
  </si>
  <si>
    <t>EMP1043</t>
  </si>
  <si>
    <t>EMP1044</t>
  </si>
  <si>
    <t>EMP1045</t>
  </si>
  <si>
    <t>EMP1046</t>
  </si>
  <si>
    <t>EMP1047</t>
  </si>
  <si>
    <t>EMP1048</t>
  </si>
  <si>
    <t>EMP1049</t>
  </si>
  <si>
    <t>EMP1050</t>
  </si>
  <si>
    <t>EMP1051</t>
  </si>
  <si>
    <t>EMP1052</t>
  </si>
  <si>
    <t>EMP1053</t>
  </si>
  <si>
    <t>EMP1054</t>
  </si>
  <si>
    <t>EMP1055</t>
  </si>
  <si>
    <t>EMP1056</t>
  </si>
  <si>
    <t>EMP1057</t>
  </si>
  <si>
    <t>EMP1058</t>
  </si>
  <si>
    <t>EMP1059</t>
  </si>
  <si>
    <t>EMP1060</t>
  </si>
  <si>
    <t>EMP1061</t>
  </si>
  <si>
    <t>EMP1062</t>
  </si>
  <si>
    <t>EMP1063</t>
  </si>
  <si>
    <t>EMP1064</t>
  </si>
  <si>
    <t>EMP1065</t>
  </si>
  <si>
    <t>EMP1066</t>
  </si>
  <si>
    <t>EMP1067</t>
  </si>
  <si>
    <t>EMP1068</t>
  </si>
  <si>
    <t>EMP1069</t>
  </si>
  <si>
    <t>EMP1070</t>
  </si>
  <si>
    <t>EMP1071</t>
  </si>
  <si>
    <t>EMP1072</t>
  </si>
  <si>
    <t>EMP1073</t>
  </si>
  <si>
    <t>EMP1074</t>
  </si>
  <si>
    <t>EMP1075</t>
  </si>
  <si>
    <t>EMP1076</t>
  </si>
  <si>
    <t>EMP1077</t>
  </si>
  <si>
    <t>EMP1078</t>
  </si>
  <si>
    <t>EMP1079</t>
  </si>
  <si>
    <t>EMP1080</t>
  </si>
  <si>
    <t>EMP1081</t>
  </si>
  <si>
    <t>EMP1082</t>
  </si>
  <si>
    <t>EMP1083</t>
  </si>
  <si>
    <t>EMP1084</t>
  </si>
  <si>
    <t>EMP1085</t>
  </si>
  <si>
    <t>EMP1086</t>
  </si>
  <si>
    <t>EMP1087</t>
  </si>
  <si>
    <t>EMP1088</t>
  </si>
  <si>
    <t>EMP1089</t>
  </si>
  <si>
    <t>EMP1090</t>
  </si>
  <si>
    <t>EMP1091</t>
  </si>
  <si>
    <t>EMP1092</t>
  </si>
  <si>
    <t>EMP1093</t>
  </si>
  <si>
    <t>EMP1094</t>
  </si>
  <si>
    <t>EMP1095</t>
  </si>
  <si>
    <t>EMP1096</t>
  </si>
  <si>
    <t>EMP1097</t>
  </si>
  <si>
    <t>EMP1098</t>
  </si>
  <si>
    <t>EMP1099</t>
  </si>
  <si>
    <t>EMP1100</t>
  </si>
  <si>
    <t>EMP1101</t>
  </si>
  <si>
    <t>EMP1102</t>
  </si>
  <si>
    <t>EMP1103</t>
  </si>
  <si>
    <t>EMP1104</t>
  </si>
  <si>
    <t>EMP1105</t>
  </si>
  <si>
    <t>EMP1106</t>
  </si>
  <si>
    <t>EMP1107</t>
  </si>
  <si>
    <t>EMP1108</t>
  </si>
  <si>
    <t>EMP1109</t>
  </si>
  <si>
    <t>EMP1110</t>
  </si>
  <si>
    <t>EMP1111</t>
  </si>
  <si>
    <t>EMP1112</t>
  </si>
  <si>
    <t>EMP1113</t>
  </si>
  <si>
    <t>EMP1114</t>
  </si>
  <si>
    <t>EMP1115</t>
  </si>
  <si>
    <t>EMP1116</t>
  </si>
  <si>
    <t>EMP1117</t>
  </si>
  <si>
    <t>EMP1118</t>
  </si>
  <si>
    <t>EMP1119</t>
  </si>
  <si>
    <t>EMP1120</t>
  </si>
  <si>
    <t>EMP1121</t>
  </si>
  <si>
    <t>EMP1122</t>
  </si>
  <si>
    <t>EMP1123</t>
  </si>
  <si>
    <t>EMP1124</t>
  </si>
  <si>
    <t>EMP1125</t>
  </si>
  <si>
    <t>EMP1126</t>
  </si>
  <si>
    <t>EMP1127</t>
  </si>
  <si>
    <t>EMP1128</t>
  </si>
  <si>
    <t>EMP1129</t>
  </si>
  <si>
    <t>EMP1130</t>
  </si>
  <si>
    <t>EMP1131</t>
  </si>
  <si>
    <t>EMP1132</t>
  </si>
  <si>
    <t>EMP1133</t>
  </si>
  <si>
    <t>EMP1134</t>
  </si>
  <si>
    <t>EMP1135</t>
  </si>
  <si>
    <t>EMP1136</t>
  </si>
  <si>
    <t>EMP1137</t>
  </si>
  <si>
    <t>EMP1138</t>
  </si>
  <si>
    <t>EMP1139</t>
  </si>
  <si>
    <t>EMP1140</t>
  </si>
  <si>
    <t>EMP1141</t>
  </si>
  <si>
    <t>EMP1142</t>
  </si>
  <si>
    <t>EMP1143</t>
  </si>
  <si>
    <t>EMP1144</t>
  </si>
  <si>
    <t>EMP1145</t>
  </si>
  <si>
    <t>EMP1146</t>
  </si>
  <si>
    <t>EMP1147</t>
  </si>
  <si>
    <t>EMP1148</t>
  </si>
  <si>
    <t>EMP1149</t>
  </si>
  <si>
    <t>Eve Adams</t>
  </si>
  <si>
    <t>Alice Brown</t>
  </si>
  <si>
    <t>John Doe</t>
  </si>
  <si>
    <t>Jane Smith</t>
  </si>
  <si>
    <t>Sam Wilson</t>
  </si>
  <si>
    <t>Chris Lee</t>
  </si>
  <si>
    <t>Bob Johnson</t>
  </si>
  <si>
    <t>Finance</t>
  </si>
  <si>
    <t>HR</t>
  </si>
  <si>
    <t>Sales</t>
  </si>
  <si>
    <t>IT</t>
  </si>
  <si>
    <t>Marketing</t>
  </si>
  <si>
    <t xml:space="preserve"> </t>
  </si>
  <si>
    <t>Germany</t>
  </si>
  <si>
    <t>USA</t>
  </si>
  <si>
    <t>India</t>
  </si>
  <si>
    <t>UK</t>
  </si>
  <si>
    <t>Australia</t>
  </si>
  <si>
    <t>N/A</t>
  </si>
  <si>
    <t>Unknown</t>
  </si>
  <si>
    <t>Other</t>
  </si>
  <si>
    <t>Male</t>
  </si>
  <si>
    <t>Female</t>
  </si>
  <si>
    <t>invalid_email</t>
  </si>
  <si>
    <t>user106@example.com</t>
  </si>
  <si>
    <t>user176@example.com</t>
  </si>
  <si>
    <t>user168@example.com</t>
  </si>
  <si>
    <t>user49@example.com</t>
  </si>
  <si>
    <t>user24@example.com</t>
  </si>
  <si>
    <t>user26@example.com</t>
  </si>
  <si>
    <t>user25@example.com</t>
  </si>
  <si>
    <t>user153@example.com</t>
  </si>
  <si>
    <t>user18@example.com</t>
  </si>
  <si>
    <t>user1@example.com</t>
  </si>
  <si>
    <t>user180@example.com</t>
  </si>
  <si>
    <t>user184@example.com</t>
  </si>
  <si>
    <t>user3@example.com</t>
  </si>
  <si>
    <t>user64@example.com</t>
  </si>
  <si>
    <t>user38@example.com</t>
  </si>
  <si>
    <t>user96@example.com</t>
  </si>
  <si>
    <t>user151@example.com</t>
  </si>
  <si>
    <t>user200@example.com</t>
  </si>
  <si>
    <t>user77@example.com</t>
  </si>
  <si>
    <t>user128@example.com</t>
  </si>
  <si>
    <t>user149@example.com</t>
  </si>
  <si>
    <t>user122@example.com</t>
  </si>
  <si>
    <t>user41@example.com</t>
  </si>
  <si>
    <t>user68@example.com</t>
  </si>
  <si>
    <t>user103@example.com</t>
  </si>
  <si>
    <t>user135@example.com</t>
  </si>
  <si>
    <t>user83@example.com</t>
  </si>
  <si>
    <t>user109@example.com</t>
  </si>
  <si>
    <t>user143@example.com</t>
  </si>
  <si>
    <t>user190@example.com</t>
  </si>
  <si>
    <t>user136@example.com</t>
  </si>
  <si>
    <t>user198@example.com</t>
  </si>
  <si>
    <t>user31@example.com</t>
  </si>
  <si>
    <t>user98@example.com</t>
  </si>
  <si>
    <t>user154@example.com</t>
  </si>
  <si>
    <t>user42@example.com</t>
  </si>
  <si>
    <t>user89@example.com</t>
  </si>
  <si>
    <t>user47@example.com</t>
  </si>
  <si>
    <t>user175@example.com</t>
  </si>
  <si>
    <t>user57@example.com</t>
  </si>
  <si>
    <t>user20@example.com</t>
  </si>
  <si>
    <t>user199@example.com</t>
  </si>
  <si>
    <t>user43@example.com</t>
  </si>
  <si>
    <t>user95@example.com</t>
  </si>
  <si>
    <t>user59@example.com</t>
  </si>
  <si>
    <t>user152@example.com</t>
  </si>
  <si>
    <t>user92@example.com</t>
  </si>
  <si>
    <t>user50@example.com</t>
  </si>
  <si>
    <t>user63@example.com</t>
  </si>
  <si>
    <t>user150@example.com</t>
  </si>
  <si>
    <t>user112@example.com</t>
  </si>
  <si>
    <t>user71@example.com</t>
  </si>
  <si>
    <t>user97@example.com</t>
  </si>
  <si>
    <t>user141@example.com</t>
  </si>
  <si>
    <t>user125@example.com</t>
  </si>
  <si>
    <t>user90@example.com</t>
  </si>
  <si>
    <t>user192@example.com</t>
  </si>
  <si>
    <t>user65@example.com</t>
  </si>
  <si>
    <t>user142@example.com</t>
  </si>
  <si>
    <t>user17@example.com</t>
  </si>
  <si>
    <t>user22@example.com</t>
  </si>
  <si>
    <t>user46@example.com</t>
  </si>
  <si>
    <t>user55@example.com</t>
  </si>
  <si>
    <t>user156@example.com</t>
  </si>
  <si>
    <t>user104@example.com</t>
  </si>
  <si>
    <t>user145@example.com</t>
  </si>
  <si>
    <t>user197@example.com</t>
  </si>
  <si>
    <t>user177@example.com</t>
  </si>
  <si>
    <t>user48@example.com</t>
  </si>
  <si>
    <t>user102@example.com</t>
  </si>
  <si>
    <t>user148@example.com</t>
  </si>
  <si>
    <t>user155@example.com</t>
  </si>
  <si>
    <t>user191@example.com</t>
  </si>
  <si>
    <t>user113@example.com</t>
  </si>
  <si>
    <t>user62@example.com</t>
  </si>
  <si>
    <t>user76@example.com</t>
  </si>
  <si>
    <t>user40@example.com</t>
  </si>
  <si>
    <t>user54@example.com</t>
  </si>
  <si>
    <t>user189@example.com</t>
  </si>
  <si>
    <t>user93@example.com</t>
  </si>
  <si>
    <t>user174@example.com</t>
  </si>
  <si>
    <t>user44@example.com</t>
  </si>
  <si>
    <t>user82@example.com</t>
  </si>
  <si>
    <t>user137@example.com</t>
  </si>
  <si>
    <t>user23@example.com</t>
  </si>
  <si>
    <t>user101@example.com</t>
  </si>
  <si>
    <t>user132@example.com</t>
  </si>
  <si>
    <t>user171@example.com</t>
  </si>
  <si>
    <t>user75@example.com</t>
  </si>
  <si>
    <t>user52@example.com</t>
  </si>
  <si>
    <t>user100@example.com</t>
  </si>
  <si>
    <t>user167@example.com</t>
  </si>
  <si>
    <t>user188@example.com</t>
  </si>
  <si>
    <t>user165@example.com</t>
  </si>
  <si>
    <t>user114@example.com</t>
  </si>
  <si>
    <t>user53@example.com</t>
  </si>
  <si>
    <t>user163@example.com</t>
  </si>
  <si>
    <t>user30@example.com</t>
  </si>
  <si>
    <t>Salary2</t>
  </si>
  <si>
    <t>Date of Joining2</t>
  </si>
  <si>
    <t>Performance Rating2</t>
  </si>
  <si>
    <t>Performance Rating22</t>
  </si>
  <si>
    <t>Gender2</t>
  </si>
  <si>
    <t>Employee ID2</t>
  </si>
  <si>
    <t>EMP</t>
  </si>
  <si>
    <t>Employee ID3</t>
  </si>
  <si>
    <t>Summary</t>
  </si>
  <si>
    <t>Bottom 5 performers based on performance ratings and Salary</t>
  </si>
  <si>
    <t>Top 5 performers based on performance ratings and Salary</t>
  </si>
  <si>
    <t>Today</t>
  </si>
  <si>
    <t>Now</t>
  </si>
  <si>
    <t>Date of Joining Year</t>
  </si>
  <si>
    <t>Date of Joining Month</t>
  </si>
  <si>
    <t>Mar</t>
  </si>
  <si>
    <t>Jan</t>
  </si>
  <si>
    <t>Feb</t>
  </si>
  <si>
    <t>Apr</t>
  </si>
  <si>
    <t>May</t>
  </si>
  <si>
    <t>Jun</t>
  </si>
  <si>
    <t>Jul</t>
  </si>
  <si>
    <t>Aug</t>
  </si>
  <si>
    <t>Sep</t>
  </si>
  <si>
    <t>Oct</t>
  </si>
  <si>
    <t>Nov</t>
  </si>
  <si>
    <t>Dec</t>
  </si>
  <si>
    <t>Column Labels</t>
  </si>
  <si>
    <t>Grand Total</t>
  </si>
  <si>
    <t>Average of Salary2</t>
  </si>
  <si>
    <t>Count of Salary2</t>
  </si>
  <si>
    <t>No of salaried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</si>
</sst>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yyyy\-mm\-dd\ hh:mm:ss"/>
    <numFmt numFmtId="165" formatCode="&quot;$&quot;#,##0"/>
    <numFmt numFmtId="166" formatCode="_(&quot;$&quot;* #,##0_);_(&quot;$&quot;* \(#,##0\);_(&quot;$&quot;* &quot;-&quot;??_);_(@_)"/>
    <numFmt numFmtId="167" formatCode="dd/mm/yyyy"/>
  </numFmts>
  <fonts count="6" x14ac:knownFonts="1">
    <font>
      <sz val="11"/>
      <color theme="1"/>
      <name val="Calibri"/>
      <family val="2"/>
      <scheme val="minor"/>
    </font>
    <font>
      <sz val="11"/>
      <color theme="0"/>
      <name val="Calibri"/>
      <family val="2"/>
      <scheme val="minor"/>
    </font>
    <font>
      <sz val="1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s>
  <fills count="9">
    <fill>
      <patternFill patternType="none"/>
    </fill>
    <fill>
      <patternFill patternType="gray125"/>
    </fill>
    <fill>
      <patternFill patternType="solid">
        <fgColor rgb="FF267E3B"/>
        <bgColor indexed="64"/>
      </patternFill>
    </fill>
    <fill>
      <patternFill patternType="solid">
        <fgColor rgb="FFFFFF00"/>
        <bgColor indexed="64"/>
      </patternFill>
    </fill>
    <fill>
      <patternFill patternType="solid">
        <fgColor rgb="FF002060"/>
        <bgColor indexed="64"/>
      </patternFill>
    </fill>
    <fill>
      <patternFill patternType="solid">
        <fgColor theme="9" tint="0.79998168889431442"/>
        <bgColor theme="9" tint="0.79998168889431442"/>
      </patternFill>
    </fill>
    <fill>
      <patternFill patternType="solid">
        <fgColor theme="9"/>
        <bgColor theme="9"/>
      </patternFill>
    </fill>
    <fill>
      <patternFill patternType="solid">
        <fgColor rgb="FFFFFF00"/>
        <bgColor theme="9"/>
      </patternFill>
    </fill>
    <fill>
      <patternFill patternType="solid">
        <fgColor theme="9" tint="-0.249977111117893"/>
        <bgColor indexed="64"/>
      </patternFill>
    </fill>
  </fills>
  <borders count="11">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thin">
        <color auto="1"/>
      </right>
      <top/>
      <bottom/>
      <diagonal/>
    </border>
  </borders>
  <cellStyleXfs count="2">
    <xf numFmtId="0" fontId="0" fillId="0" borderId="0"/>
    <xf numFmtId="44" fontId="3" fillId="0" borderId="0" applyFont="0" applyFill="0" applyBorder="0" applyAlignment="0" applyProtection="0"/>
  </cellStyleXfs>
  <cellXfs count="39">
    <xf numFmtId="0" fontId="0" fillId="0" borderId="0" xfId="0"/>
    <xf numFmtId="0" fontId="0" fillId="0" borderId="1" xfId="0" applyBorder="1" applyAlignment="1">
      <alignment horizontal="left"/>
    </xf>
    <xf numFmtId="164" fontId="0" fillId="0" borderId="1" xfId="0" applyNumberFormat="1" applyBorder="1" applyAlignment="1">
      <alignment horizontal="left"/>
    </xf>
    <xf numFmtId="0" fontId="0" fillId="0" borderId="0" xfId="0" applyBorder="1"/>
    <xf numFmtId="0" fontId="0" fillId="0" borderId="2" xfId="0" applyBorder="1" applyAlignment="1">
      <alignment horizontal="left"/>
    </xf>
    <xf numFmtId="0" fontId="1" fillId="2" borderId="4" xfId="0" applyFont="1" applyFill="1" applyBorder="1" applyAlignment="1">
      <alignment horizontal="left" vertical="top"/>
    </xf>
    <xf numFmtId="0" fontId="1" fillId="2" borderId="5" xfId="0" applyFont="1" applyFill="1" applyBorder="1" applyAlignment="1">
      <alignment horizontal="left" vertical="top"/>
    </xf>
    <xf numFmtId="0" fontId="0" fillId="0" borderId="7" xfId="0" applyBorder="1" applyAlignment="1">
      <alignment horizontal="left"/>
    </xf>
    <xf numFmtId="0" fontId="0" fillId="0" borderId="8" xfId="0" applyBorder="1" applyAlignment="1">
      <alignment horizontal="left"/>
    </xf>
    <xf numFmtId="164" fontId="0" fillId="0" borderId="8" xfId="0" applyNumberFormat="1" applyBorder="1" applyAlignment="1">
      <alignment horizontal="left"/>
    </xf>
    <xf numFmtId="0" fontId="0" fillId="0" borderId="3" xfId="0" applyBorder="1" applyAlignment="1">
      <alignment horizontal="left"/>
    </xf>
    <xf numFmtId="0" fontId="1" fillId="2" borderId="6" xfId="0" applyFont="1" applyFill="1" applyBorder="1" applyAlignment="1">
      <alignment horizontal="left" vertical="top"/>
    </xf>
    <xf numFmtId="0" fontId="0" fillId="0" borderId="9" xfId="0" applyBorder="1" applyAlignment="1">
      <alignment horizontal="left"/>
    </xf>
    <xf numFmtId="165" fontId="0" fillId="0" borderId="0" xfId="0" applyNumberFormat="1"/>
    <xf numFmtId="165" fontId="2" fillId="3" borderId="0" xfId="0" applyNumberFormat="1" applyFont="1" applyFill="1"/>
    <xf numFmtId="0" fontId="4" fillId="6" borderId="1" xfId="0" applyFont="1" applyFill="1" applyBorder="1" applyAlignment="1">
      <alignment horizontal="left" vertical="top"/>
    </xf>
    <xf numFmtId="0" fontId="0" fillId="5" borderId="1" xfId="0" applyFont="1" applyFill="1" applyBorder="1" applyAlignment="1">
      <alignment horizontal="left" vertical="top"/>
    </xf>
    <xf numFmtId="0" fontId="0" fillId="0" borderId="1" xfId="0" applyBorder="1" applyAlignment="1">
      <alignment horizontal="left" vertical="top"/>
    </xf>
    <xf numFmtId="0" fontId="0" fillId="0" borderId="1" xfId="0" applyFont="1" applyBorder="1" applyAlignment="1">
      <alignment horizontal="left" vertical="top"/>
    </xf>
    <xf numFmtId="0" fontId="0" fillId="5" borderId="1" xfId="0" applyFont="1" applyFill="1" applyBorder="1" applyAlignment="1">
      <alignment horizontal="left"/>
    </xf>
    <xf numFmtId="0" fontId="0" fillId="0" borderId="1" xfId="0" applyFont="1" applyBorder="1" applyAlignment="1">
      <alignment horizontal="left"/>
    </xf>
    <xf numFmtId="0" fontId="4" fillId="6" borderId="1" xfId="0" applyFont="1" applyFill="1" applyBorder="1" applyAlignment="1">
      <alignment horizontal="left"/>
    </xf>
    <xf numFmtId="165" fontId="1" fillId="8" borderId="0" xfId="0" applyNumberFormat="1" applyFont="1" applyFill="1"/>
    <xf numFmtId="167" fontId="0" fillId="0" borderId="0" xfId="0" applyNumberFormat="1" applyAlignment="1">
      <alignment horizontal="left" vertical="top"/>
    </xf>
    <xf numFmtId="0" fontId="0" fillId="0" borderId="0" xfId="0" applyAlignment="1">
      <alignment horizontal="left" vertical="top"/>
    </xf>
    <xf numFmtId="165" fontId="1" fillId="8" borderId="0" xfId="0" applyNumberFormat="1" applyFont="1" applyFill="1" applyAlignment="1">
      <alignment horizontal="left" vertical="top"/>
    </xf>
    <xf numFmtId="0" fontId="0" fillId="0" borderId="0" xfId="0" applyNumberFormat="1" applyAlignment="1">
      <alignment horizontal="left" vertical="top"/>
    </xf>
    <xf numFmtId="165" fontId="0" fillId="0" borderId="0" xfId="0" applyNumberFormat="1" applyAlignment="1">
      <alignment horizontal="left" vertical="top"/>
    </xf>
    <xf numFmtId="166" fontId="0" fillId="0" borderId="0" xfId="1" applyNumberFormat="1" applyFont="1" applyAlignment="1">
      <alignment horizontal="left" vertical="top"/>
    </xf>
    <xf numFmtId="14" fontId="0" fillId="0" borderId="0" xfId="0" applyNumberFormat="1" applyAlignment="1">
      <alignment horizontal="left" vertical="top"/>
    </xf>
    <xf numFmtId="22" fontId="0" fillId="0" borderId="0" xfId="0" applyNumberFormat="1" applyAlignment="1">
      <alignment horizontal="left" vertical="top"/>
    </xf>
    <xf numFmtId="0" fontId="0" fillId="0" borderId="1" xfId="0" pivotButton="1" applyBorder="1" applyAlignment="1">
      <alignment horizontal="left" vertical="top"/>
    </xf>
    <xf numFmtId="165" fontId="0" fillId="0" borderId="1" xfId="0" applyNumberFormat="1" applyBorder="1" applyAlignment="1">
      <alignment horizontal="left" vertical="top"/>
    </xf>
    <xf numFmtId="0" fontId="0" fillId="0" borderId="0" xfId="0" pivotButton="1" applyAlignment="1">
      <alignment horizontal="left" vertical="top"/>
    </xf>
    <xf numFmtId="1" fontId="0" fillId="0" borderId="1" xfId="0" applyNumberFormat="1" applyBorder="1" applyAlignment="1">
      <alignment horizontal="left" vertical="top"/>
    </xf>
    <xf numFmtId="0" fontId="5" fillId="7" borderId="8" xfId="0" applyFont="1" applyFill="1" applyBorder="1" applyAlignment="1">
      <alignment horizontal="center" vertical="center" wrapText="1"/>
    </xf>
    <xf numFmtId="0" fontId="5" fillId="7" borderId="10" xfId="0" applyFont="1" applyFill="1" applyBorder="1" applyAlignment="1">
      <alignment horizontal="center" vertical="center" wrapText="1"/>
    </xf>
    <xf numFmtId="0" fontId="5" fillId="7" borderId="5" xfId="0" applyFont="1" applyFill="1" applyBorder="1" applyAlignment="1">
      <alignment horizontal="center" vertical="center" wrapText="1"/>
    </xf>
    <xf numFmtId="165" fontId="4" fillId="4" borderId="0" xfId="0" applyNumberFormat="1" applyFont="1" applyFill="1" applyBorder="1" applyAlignment="1">
      <alignment horizontal="center"/>
    </xf>
  </cellXfs>
  <cellStyles count="2">
    <cellStyle name="Currency" xfId="1" builtinId="4"/>
    <cellStyle name="Normal" xfId="0" builtinId="0"/>
  </cellStyles>
  <dxfs count="147">
    <dxf>
      <alignment vertical="top"/>
    </dxf>
    <dxf>
      <alignment vertical="top"/>
    </dxf>
    <dxf>
      <alignment vertical="top"/>
    </dxf>
    <dxf>
      <alignment vertical="top"/>
    </dxf>
    <dxf>
      <alignment vertical="top"/>
    </dxf>
    <dxf>
      <alignment vertical="top"/>
    </dxf>
    <dxf>
      <alignment horizontal="left"/>
    </dxf>
    <dxf>
      <alignment horizontal="left"/>
    </dxf>
    <dxf>
      <alignment horizontal="left"/>
    </dxf>
    <dxf>
      <alignment horizontal="left"/>
    </dxf>
    <dxf>
      <alignment horizontal="left"/>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
    </dxf>
    <dxf>
      <alignment vertical="top"/>
    </dxf>
    <dxf>
      <alignment vertical="top"/>
    </dxf>
    <dxf>
      <alignment vertical="top"/>
    </dxf>
    <dxf>
      <alignment vertical="top"/>
    </dxf>
    <dxf>
      <alignment vertical="top"/>
    </dxf>
    <dxf>
      <alignment vertical="top"/>
    </dxf>
    <dxf>
      <alignment horizontal="left"/>
    </dxf>
    <dxf>
      <alignment horizontal="left"/>
    </dxf>
    <dxf>
      <alignment horizontal="left"/>
    </dxf>
    <dxf>
      <alignment horizontal="left"/>
    </dxf>
    <dxf>
      <alignment horizontal="left"/>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
    </dxf>
    <dxf>
      <numFmt numFmtId="165" formatCode="&quot;$&quot;#,##0"/>
    </dxf>
    <dxf>
      <alignment vertical="top"/>
    </dxf>
    <dxf>
      <alignment vertical="top"/>
    </dxf>
    <dxf>
      <alignment vertical="top"/>
    </dxf>
    <dxf>
      <alignment vertical="top"/>
    </dxf>
    <dxf>
      <alignment vertical="top"/>
    </dxf>
    <dxf>
      <alignment vertical="top"/>
    </dxf>
    <dxf>
      <alignment horizontal="left"/>
    </dxf>
    <dxf>
      <alignment horizontal="left"/>
    </dxf>
    <dxf>
      <alignment horizontal="left"/>
    </dxf>
    <dxf>
      <alignment horizontal="left"/>
    </dxf>
    <dxf>
      <alignment horizontal="left"/>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5" formatCode="&quot;$&quot;#,##0"/>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
    </dxf>
    <dxf>
      <numFmt numFmtId="0" formatCode="General"/>
      <alignment horizontal="left" vertical="top" textRotation="0" wrapText="0" indent="0" justifyLastLine="0" shrinkToFit="0" readingOrder="0"/>
    </dxf>
    <dxf>
      <numFmt numFmtId="0" formatCode="General"/>
      <alignment horizontal="left" vertical="top" textRotation="0" wrapText="0" indent="0" justifyLastLine="0" shrinkToFit="0" readingOrder="0"/>
    </dxf>
    <dxf>
      <numFmt numFmtId="0" formatCode="General"/>
      <alignment horizontal="left" vertical="top" textRotation="0" wrapText="0" indent="0" justifyLastLine="0" shrinkToFit="0" readingOrder="0"/>
    </dxf>
    <dxf>
      <numFmt numFmtId="27" formatCode="m/d/yyyy\ h:mm"/>
      <alignment horizontal="left" vertical="top" textRotation="0" wrapText="0" indent="0" justifyLastLine="0" shrinkToFit="0" readingOrder="0"/>
    </dxf>
    <dxf>
      <numFmt numFmtId="19" formatCode="m/d/yyyy"/>
      <alignment horizontal="left" vertical="top" textRotation="0" wrapText="0" indent="0" justifyLastLine="0" shrinkToFit="0" readingOrder="0"/>
    </dxf>
    <dxf>
      <numFmt numFmtId="0" formatCode="General"/>
      <alignment horizontal="left" vertical="top" textRotation="0" wrapText="0" indent="0" justifyLastLine="0" shrinkToFit="0" readingOrder="0"/>
    </dxf>
    <dxf>
      <numFmt numFmtId="0" formatCode="General"/>
      <alignment horizontal="left" vertical="top" textRotation="0" wrapText="0" indent="0" justifyLastLine="0" shrinkToFit="0" readingOrder="0"/>
    </dxf>
    <dxf>
      <numFmt numFmtId="0" formatCode="General"/>
      <alignment horizontal="left" vertical="top" textRotation="0" wrapText="0" indent="0" justifyLastLine="0" shrinkToFit="0" readingOrder="0"/>
    </dxf>
    <dxf>
      <numFmt numFmtId="167" formatCode="dd/mm/yyyy"/>
      <alignment horizontal="left" vertical="top" textRotation="0" wrapText="0" indent="0" justifyLastLine="0" shrinkToFit="0" readingOrder="0"/>
    </dxf>
    <dxf>
      <numFmt numFmtId="166" formatCode="_(&quot;$&quot;* #,##0_);_(&quot;$&quot;* \(#,##0\);_(&quot;$&quot;* &quot;-&quot;??_);_(@_)"/>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numFmt numFmtId="167" formatCode="dd/mm/yyyy"/>
      <alignment horizontal="left" vertical="top" textRotation="0" wrapText="0" indent="0" justifyLastLine="0" shrinkToFit="0" readingOrder="0"/>
    </dxf>
    <dxf>
      <numFmt numFmtId="165" formatCode="&quot;$&quot;#,##0"/>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numFmt numFmtId="0" formatCode="General"/>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dxf>
    <dxf>
      <font>
        <color rgb="FF006100"/>
      </font>
      <fill>
        <patternFill>
          <bgColor rgb="FFC6EFCE"/>
        </patternFill>
      </fill>
    </dxf>
    <dxf>
      <font>
        <color rgb="FF9C0006"/>
      </font>
      <fill>
        <patternFill>
          <bgColor rgb="FFFFC7CE"/>
        </patternFill>
      </fill>
    </dxf>
    <dxf>
      <font>
        <color rgb="FF9C5700"/>
      </font>
      <fill>
        <patternFill>
          <bgColor rgb="FFFFEB9C"/>
        </patternFill>
      </fill>
    </dxf>
    <dxf>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64" formatCode="yyyy\-mm\-dd\ hh:mm:ss"/>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left" vertical="bottom"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val="0"/>
        <i val="0"/>
        <strike val="0"/>
        <condense val="0"/>
        <extend val="0"/>
        <outline val="0"/>
        <shadow val="0"/>
        <u val="none"/>
        <vertAlign val="baseline"/>
        <sz val="11"/>
        <color auto="1"/>
        <name val="Calibri"/>
        <family val="2"/>
        <scheme val="minor"/>
      </font>
      <fill>
        <patternFill patternType="solid">
          <fgColor indexed="64"/>
          <bgColor rgb="FFFFFF00"/>
        </patternFill>
      </fill>
      <alignment horizontal="left" vertical="top" textRotation="0" wrapText="0" indent="0" justifyLastLine="0" shrinkToFit="0" readingOrder="0"/>
      <border diagonalUp="0" diagonalDown="0" outline="0">
        <left style="thin">
          <color auto="1"/>
        </left>
        <right style="thin">
          <color auto="1"/>
        </right>
        <top/>
        <bottom/>
      </border>
    </dxf>
    <dxf>
      <alignment horizontal="left" vertical="bottom" textRotation="0" wrapText="0" indent="0" justifyLastLine="0" shrinkToFit="0" readingOrder="0"/>
      <border diagonalUp="0" diagonalDown="0">
        <left style="thin">
          <color auto="1"/>
        </left>
        <right/>
        <top style="thin">
          <color auto="1"/>
        </top>
        <bottom style="thin">
          <color auto="1"/>
        </bottom>
        <vertical/>
        <horizontal/>
      </border>
    </dxf>
    <dxf>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64" formatCode="yyyy\-mm\-dd\ hh:mm:ss"/>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left" vertical="bottom"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alignment horizontal="left" vertical="bottom" textRotation="0" wrapText="0" indent="0" justifyLastLine="0" shrinkToFit="0" readingOrder="0"/>
    </dxf>
    <dxf>
      <border outline="0">
        <bottom style="thin">
          <color auto="1"/>
        </bottom>
      </border>
    </dxf>
    <dxf>
      <font>
        <b val="0"/>
        <i val="0"/>
        <strike val="0"/>
        <condense val="0"/>
        <extend val="0"/>
        <outline val="0"/>
        <shadow val="0"/>
        <u val="none"/>
        <vertAlign val="baseline"/>
        <sz val="11"/>
        <color theme="0"/>
        <name val="Calibri"/>
        <family val="2"/>
        <scheme val="minor"/>
      </font>
      <fill>
        <patternFill patternType="solid">
          <fgColor indexed="64"/>
          <bgColor rgb="FF267E3B"/>
        </patternFill>
      </fill>
      <alignment horizontal="left"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17 to 19.xlsx]Pivot table!PivotTable5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Salary By Country Wise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table'!$B$1</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table'!$A$2:$A$7</c:f>
              <c:strCache>
                <c:ptCount val="5"/>
                <c:pt idx="0">
                  <c:v>Australia</c:v>
                </c:pt>
                <c:pt idx="1">
                  <c:v>Germany</c:v>
                </c:pt>
                <c:pt idx="2">
                  <c:v>India</c:v>
                </c:pt>
                <c:pt idx="3">
                  <c:v>UK</c:v>
                </c:pt>
                <c:pt idx="4">
                  <c:v>USA</c:v>
                </c:pt>
              </c:strCache>
            </c:strRef>
          </c:cat>
          <c:val>
            <c:numRef>
              <c:f>'Pivot table'!$B$2:$B$7</c:f>
              <c:numCache>
                <c:formatCode>"$"#,##0</c:formatCode>
                <c:ptCount val="5"/>
                <c:pt idx="0">
                  <c:v>61609.84210526316</c:v>
                </c:pt>
                <c:pt idx="1">
                  <c:v>65861.433913043482</c:v>
                </c:pt>
                <c:pt idx="2">
                  <c:v>68764.669661016946</c:v>
                </c:pt>
                <c:pt idx="3">
                  <c:v>62117.982000000004</c:v>
                </c:pt>
                <c:pt idx="4">
                  <c:v>68532.214384057981</c:v>
                </c:pt>
              </c:numCache>
            </c:numRef>
          </c:val>
          <c:extLst>
            <c:ext xmlns:c16="http://schemas.microsoft.com/office/drawing/2014/chart" uri="{C3380CC4-5D6E-409C-BE32-E72D297353CC}">
              <c16:uniqueId val="{00000000-ECF1-4DDA-BBDA-25550F6F5C7A}"/>
            </c:ext>
          </c:extLst>
        </c:ser>
        <c:dLbls>
          <c:showLegendKey val="0"/>
          <c:showVal val="1"/>
          <c:showCatName val="0"/>
          <c:showSerName val="0"/>
          <c:showPercent val="0"/>
          <c:showBubbleSize val="0"/>
        </c:dLbls>
        <c:gapWidth val="150"/>
        <c:shape val="box"/>
        <c:axId val="471601664"/>
        <c:axId val="471846160"/>
        <c:axId val="0"/>
      </c:bar3DChart>
      <c:catAx>
        <c:axId val="4716016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846160"/>
        <c:crosses val="autoZero"/>
        <c:auto val="1"/>
        <c:lblAlgn val="ctr"/>
        <c:lblOffset val="100"/>
        <c:noMultiLvlLbl val="0"/>
      </c:catAx>
      <c:valAx>
        <c:axId val="47184616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601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17 to 19.xlsx]Pivot table!PivotTable6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Salary By Department Wise</a:t>
            </a:r>
          </a:p>
        </c:rich>
      </c:tx>
      <c:layout>
        <c:manualLayout>
          <c:xMode val="edge"/>
          <c:yMode val="edge"/>
          <c:x val="0.18180936995153474"/>
          <c:y val="3.184713375796178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lineChart>
        <c:grouping val="standard"/>
        <c:varyColors val="0"/>
        <c:ser>
          <c:idx val="0"/>
          <c:order val="0"/>
          <c:tx>
            <c:strRef>
              <c:f>'Pivot table'!$B$9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 table'!$A$10:$A$15</c:f>
              <c:strCache>
                <c:ptCount val="5"/>
                <c:pt idx="0">
                  <c:v>Finance</c:v>
                </c:pt>
                <c:pt idx="1">
                  <c:v>HR</c:v>
                </c:pt>
                <c:pt idx="2">
                  <c:v>IT</c:v>
                </c:pt>
                <c:pt idx="3">
                  <c:v>Marketing</c:v>
                </c:pt>
                <c:pt idx="4">
                  <c:v>Sales</c:v>
                </c:pt>
              </c:strCache>
            </c:strRef>
          </c:cat>
          <c:val>
            <c:numRef>
              <c:f>'Pivot table'!$B$10:$B$15</c:f>
              <c:numCache>
                <c:formatCode>"$"#,##0</c:formatCode>
                <c:ptCount val="5"/>
                <c:pt idx="0">
                  <c:v>65604.55</c:v>
                </c:pt>
                <c:pt idx="1">
                  <c:v>67834.565217391311</c:v>
                </c:pt>
                <c:pt idx="2">
                  <c:v>66157.5</c:v>
                </c:pt>
                <c:pt idx="3">
                  <c:v>65071.979999999996</c:v>
                </c:pt>
                <c:pt idx="4">
                  <c:v>67929.08</c:v>
                </c:pt>
              </c:numCache>
            </c:numRef>
          </c:val>
          <c:smooth val="0"/>
          <c:extLst>
            <c:ext xmlns:c16="http://schemas.microsoft.com/office/drawing/2014/chart" uri="{C3380CC4-5D6E-409C-BE32-E72D297353CC}">
              <c16:uniqueId val="{00000000-2A16-4CA4-B223-524219CC86B9}"/>
            </c:ext>
          </c:extLst>
        </c:ser>
        <c:dLbls>
          <c:showLegendKey val="0"/>
          <c:showVal val="0"/>
          <c:showCatName val="0"/>
          <c:showSerName val="0"/>
          <c:showPercent val="0"/>
          <c:showBubbleSize val="0"/>
        </c:dLbls>
        <c:marker val="1"/>
        <c:smooth val="0"/>
        <c:axId val="484803824"/>
        <c:axId val="480198448"/>
      </c:lineChart>
      <c:catAx>
        <c:axId val="484803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198448"/>
        <c:crosses val="autoZero"/>
        <c:auto val="1"/>
        <c:lblAlgn val="ctr"/>
        <c:lblOffset val="100"/>
        <c:noMultiLvlLbl val="0"/>
      </c:catAx>
      <c:valAx>
        <c:axId val="48019844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803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17 to 19.xlsx]Pivot table!PivotTable7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Salary By Gender Wise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s>
    <c:plotArea>
      <c:layout/>
      <c:barChart>
        <c:barDir val="bar"/>
        <c:grouping val="clustered"/>
        <c:varyColors val="0"/>
        <c:ser>
          <c:idx val="0"/>
          <c:order val="0"/>
          <c:tx>
            <c:strRef>
              <c:f>'Pivot table'!$B$17:$B$18</c:f>
              <c:strCache>
                <c:ptCount val="1"/>
                <c:pt idx="0">
                  <c:v>Finance</c:v>
                </c:pt>
              </c:strCache>
            </c:strRef>
          </c:tx>
          <c:spPr>
            <a:solidFill>
              <a:schemeClr val="accent1"/>
            </a:solidFill>
            <a:ln>
              <a:noFill/>
            </a:ln>
            <a:effectLst/>
          </c:spPr>
          <c:invertIfNegative val="0"/>
          <c:cat>
            <c:strRef>
              <c:f>'Pivot table'!$A$19:$A$23</c:f>
              <c:strCache>
                <c:ptCount val="4"/>
                <c:pt idx="0">
                  <c:v>Female</c:v>
                </c:pt>
                <c:pt idx="1">
                  <c:v>Male</c:v>
                </c:pt>
                <c:pt idx="2">
                  <c:v>Other</c:v>
                </c:pt>
                <c:pt idx="3">
                  <c:v>Unknown</c:v>
                </c:pt>
              </c:strCache>
            </c:strRef>
          </c:cat>
          <c:val>
            <c:numRef>
              <c:f>'Pivot table'!$B$19:$B$23</c:f>
              <c:numCache>
                <c:formatCode>"$"#,##0</c:formatCode>
                <c:ptCount val="4"/>
                <c:pt idx="0">
                  <c:v>54401.183333333327</c:v>
                </c:pt>
                <c:pt idx="1">
                  <c:v>67791.272727272721</c:v>
                </c:pt>
                <c:pt idx="2">
                  <c:v>66969.71428571429</c:v>
                </c:pt>
                <c:pt idx="3">
                  <c:v>65604.55</c:v>
                </c:pt>
              </c:numCache>
            </c:numRef>
          </c:val>
          <c:extLst>
            <c:ext xmlns:c16="http://schemas.microsoft.com/office/drawing/2014/chart" uri="{C3380CC4-5D6E-409C-BE32-E72D297353CC}">
              <c16:uniqueId val="{00000000-5846-4011-8AD6-B9DCB6A3AE2E}"/>
            </c:ext>
          </c:extLst>
        </c:ser>
        <c:ser>
          <c:idx val="1"/>
          <c:order val="1"/>
          <c:tx>
            <c:strRef>
              <c:f>'Pivot table'!$C$17:$C$18</c:f>
              <c:strCache>
                <c:ptCount val="1"/>
                <c:pt idx="0">
                  <c:v>HR</c:v>
                </c:pt>
              </c:strCache>
            </c:strRef>
          </c:tx>
          <c:spPr>
            <a:solidFill>
              <a:schemeClr val="accent2"/>
            </a:solidFill>
            <a:ln>
              <a:noFill/>
            </a:ln>
            <a:effectLst/>
          </c:spPr>
          <c:invertIfNegative val="0"/>
          <c:cat>
            <c:strRef>
              <c:f>'Pivot table'!$A$19:$A$23</c:f>
              <c:strCache>
                <c:ptCount val="4"/>
                <c:pt idx="0">
                  <c:v>Female</c:v>
                </c:pt>
                <c:pt idx="1">
                  <c:v>Male</c:v>
                </c:pt>
                <c:pt idx="2">
                  <c:v>Other</c:v>
                </c:pt>
                <c:pt idx="3">
                  <c:v>Unknown</c:v>
                </c:pt>
              </c:strCache>
            </c:strRef>
          </c:cat>
          <c:val>
            <c:numRef>
              <c:f>'Pivot table'!$C$19:$C$23</c:f>
              <c:numCache>
                <c:formatCode>"$"#,##0</c:formatCode>
                <c:ptCount val="4"/>
                <c:pt idx="0">
                  <c:v>65610.25</c:v>
                </c:pt>
                <c:pt idx="1">
                  <c:v>71747.75</c:v>
                </c:pt>
                <c:pt idx="2">
                  <c:v>63076.945652173912</c:v>
                </c:pt>
              </c:numCache>
            </c:numRef>
          </c:val>
          <c:extLst>
            <c:ext xmlns:c16="http://schemas.microsoft.com/office/drawing/2014/chart" uri="{C3380CC4-5D6E-409C-BE32-E72D297353CC}">
              <c16:uniqueId val="{00000028-5846-4011-8AD6-B9DCB6A3AE2E}"/>
            </c:ext>
          </c:extLst>
        </c:ser>
        <c:ser>
          <c:idx val="2"/>
          <c:order val="2"/>
          <c:tx>
            <c:strRef>
              <c:f>'Pivot table'!$D$17:$D$18</c:f>
              <c:strCache>
                <c:ptCount val="1"/>
                <c:pt idx="0">
                  <c:v>IT</c:v>
                </c:pt>
              </c:strCache>
            </c:strRef>
          </c:tx>
          <c:spPr>
            <a:solidFill>
              <a:schemeClr val="accent3"/>
            </a:solidFill>
            <a:ln>
              <a:noFill/>
            </a:ln>
            <a:effectLst/>
          </c:spPr>
          <c:invertIfNegative val="0"/>
          <c:cat>
            <c:strRef>
              <c:f>'Pivot table'!$A$19:$A$23</c:f>
              <c:strCache>
                <c:ptCount val="4"/>
                <c:pt idx="0">
                  <c:v>Female</c:v>
                </c:pt>
                <c:pt idx="1">
                  <c:v>Male</c:v>
                </c:pt>
                <c:pt idx="2">
                  <c:v>Other</c:v>
                </c:pt>
                <c:pt idx="3">
                  <c:v>Unknown</c:v>
                </c:pt>
              </c:strCache>
            </c:strRef>
          </c:cat>
          <c:val>
            <c:numRef>
              <c:f>'Pivot table'!$D$19:$D$23</c:f>
              <c:numCache>
                <c:formatCode>"$"#,##0</c:formatCode>
                <c:ptCount val="4"/>
                <c:pt idx="0">
                  <c:v>66368.5</c:v>
                </c:pt>
                <c:pt idx="1">
                  <c:v>63864.615384615383</c:v>
                </c:pt>
                <c:pt idx="2">
                  <c:v>75530.666666666672</c:v>
                </c:pt>
                <c:pt idx="3">
                  <c:v>66157.5</c:v>
                </c:pt>
              </c:numCache>
            </c:numRef>
          </c:val>
          <c:extLst>
            <c:ext xmlns:c16="http://schemas.microsoft.com/office/drawing/2014/chart" uri="{C3380CC4-5D6E-409C-BE32-E72D297353CC}">
              <c16:uniqueId val="{00000029-5846-4011-8AD6-B9DCB6A3AE2E}"/>
            </c:ext>
          </c:extLst>
        </c:ser>
        <c:ser>
          <c:idx val="3"/>
          <c:order val="3"/>
          <c:tx>
            <c:strRef>
              <c:f>'Pivot table'!$E$17:$E$18</c:f>
              <c:strCache>
                <c:ptCount val="1"/>
                <c:pt idx="0">
                  <c:v>Marketing</c:v>
                </c:pt>
              </c:strCache>
            </c:strRef>
          </c:tx>
          <c:spPr>
            <a:solidFill>
              <a:schemeClr val="accent4"/>
            </a:solidFill>
            <a:ln>
              <a:noFill/>
            </a:ln>
            <a:effectLst/>
          </c:spPr>
          <c:invertIfNegative val="0"/>
          <c:cat>
            <c:strRef>
              <c:f>'Pivot table'!$A$19:$A$23</c:f>
              <c:strCache>
                <c:ptCount val="4"/>
                <c:pt idx="0">
                  <c:v>Female</c:v>
                </c:pt>
                <c:pt idx="1">
                  <c:v>Male</c:v>
                </c:pt>
                <c:pt idx="2">
                  <c:v>Other</c:v>
                </c:pt>
                <c:pt idx="3">
                  <c:v>Unknown</c:v>
                </c:pt>
              </c:strCache>
            </c:strRef>
          </c:cat>
          <c:val>
            <c:numRef>
              <c:f>'Pivot table'!$E$19:$E$23</c:f>
              <c:numCache>
                <c:formatCode>"$"#,##0</c:formatCode>
                <c:ptCount val="4"/>
                <c:pt idx="0">
                  <c:v>62360.727272727272</c:v>
                </c:pt>
                <c:pt idx="1">
                  <c:v>65058.037692307691</c:v>
                </c:pt>
                <c:pt idx="2">
                  <c:v>66405.075384615382</c:v>
                </c:pt>
                <c:pt idx="3">
                  <c:v>69357.326666666675</c:v>
                </c:pt>
              </c:numCache>
            </c:numRef>
          </c:val>
          <c:extLst>
            <c:ext xmlns:c16="http://schemas.microsoft.com/office/drawing/2014/chart" uri="{C3380CC4-5D6E-409C-BE32-E72D297353CC}">
              <c16:uniqueId val="{0000002A-5846-4011-8AD6-B9DCB6A3AE2E}"/>
            </c:ext>
          </c:extLst>
        </c:ser>
        <c:ser>
          <c:idx val="4"/>
          <c:order val="4"/>
          <c:tx>
            <c:strRef>
              <c:f>'Pivot table'!$F$17:$F$18</c:f>
              <c:strCache>
                <c:ptCount val="1"/>
                <c:pt idx="0">
                  <c:v>Sales</c:v>
                </c:pt>
              </c:strCache>
            </c:strRef>
          </c:tx>
          <c:spPr>
            <a:solidFill>
              <a:schemeClr val="accent5"/>
            </a:solidFill>
            <a:ln>
              <a:noFill/>
            </a:ln>
            <a:effectLst/>
          </c:spPr>
          <c:invertIfNegative val="0"/>
          <c:cat>
            <c:strRef>
              <c:f>'Pivot table'!$A$19:$A$23</c:f>
              <c:strCache>
                <c:ptCount val="4"/>
                <c:pt idx="0">
                  <c:v>Female</c:v>
                </c:pt>
                <c:pt idx="1">
                  <c:v>Male</c:v>
                </c:pt>
                <c:pt idx="2">
                  <c:v>Other</c:v>
                </c:pt>
                <c:pt idx="3">
                  <c:v>Unknown</c:v>
                </c:pt>
              </c:strCache>
            </c:strRef>
          </c:cat>
          <c:val>
            <c:numRef>
              <c:f>'Pivot table'!$F$19:$F$23</c:f>
              <c:numCache>
                <c:formatCode>"$"#,##0</c:formatCode>
                <c:ptCount val="4"/>
                <c:pt idx="0">
                  <c:v>63301.5</c:v>
                </c:pt>
                <c:pt idx="1">
                  <c:v>66426.642857142855</c:v>
                </c:pt>
                <c:pt idx="2">
                  <c:v>82442.77</c:v>
                </c:pt>
              </c:numCache>
            </c:numRef>
          </c:val>
          <c:extLst>
            <c:ext xmlns:c16="http://schemas.microsoft.com/office/drawing/2014/chart" uri="{C3380CC4-5D6E-409C-BE32-E72D297353CC}">
              <c16:uniqueId val="{0000002B-5846-4011-8AD6-B9DCB6A3AE2E}"/>
            </c:ext>
          </c:extLst>
        </c:ser>
        <c:dLbls>
          <c:showLegendKey val="0"/>
          <c:showVal val="0"/>
          <c:showCatName val="0"/>
          <c:showSerName val="0"/>
          <c:showPercent val="0"/>
          <c:showBubbleSize val="0"/>
        </c:dLbls>
        <c:gapWidth val="182"/>
        <c:axId val="484800624"/>
        <c:axId val="480195952"/>
      </c:barChart>
      <c:catAx>
        <c:axId val="484800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195952"/>
        <c:crosses val="autoZero"/>
        <c:auto val="1"/>
        <c:lblAlgn val="ctr"/>
        <c:lblOffset val="100"/>
        <c:noMultiLvlLbl val="0"/>
      </c:catAx>
      <c:valAx>
        <c:axId val="480195952"/>
        <c:scaling>
          <c:orientation val="minMax"/>
          <c:max val="88000"/>
          <c:min val="50000"/>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low"/>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800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17 to 19.xlsx]Pivot table!PivotTable8</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a:t>
            </a:r>
            <a:r>
              <a:rPr lang="en-US" baseline="0"/>
              <a:t> of Salaried By Country Wise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table'!$B$25</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E729-43BD-BEE8-42BC94CE7754}"/>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E729-43BD-BEE8-42BC94CE7754}"/>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E729-43BD-BEE8-42BC94CE7754}"/>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E729-43BD-BEE8-42BC94CE7754}"/>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E729-43BD-BEE8-42BC94CE775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table'!$A$26:$A$31</c:f>
              <c:strCache>
                <c:ptCount val="5"/>
                <c:pt idx="0">
                  <c:v>Australia</c:v>
                </c:pt>
                <c:pt idx="1">
                  <c:v>Germany</c:v>
                </c:pt>
                <c:pt idx="2">
                  <c:v>India</c:v>
                </c:pt>
                <c:pt idx="3">
                  <c:v>UK</c:v>
                </c:pt>
                <c:pt idx="4">
                  <c:v>USA</c:v>
                </c:pt>
              </c:strCache>
            </c:strRef>
          </c:cat>
          <c:val>
            <c:numRef>
              <c:f>'Pivot table'!$B$26:$B$31</c:f>
              <c:numCache>
                <c:formatCode>0</c:formatCode>
                <c:ptCount val="5"/>
                <c:pt idx="0">
                  <c:v>19</c:v>
                </c:pt>
                <c:pt idx="1">
                  <c:v>23</c:v>
                </c:pt>
                <c:pt idx="2">
                  <c:v>59</c:v>
                </c:pt>
                <c:pt idx="3">
                  <c:v>25</c:v>
                </c:pt>
                <c:pt idx="4">
                  <c:v>24</c:v>
                </c:pt>
              </c:numCache>
            </c:numRef>
          </c:val>
          <c:extLst>
            <c:ext xmlns:c16="http://schemas.microsoft.com/office/drawing/2014/chart" uri="{C3380CC4-5D6E-409C-BE32-E72D297353CC}">
              <c16:uniqueId val="{0000000A-E729-43BD-BEE8-42BC94CE7754}"/>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38100</xdr:colOff>
      <xdr:row>11</xdr:row>
      <xdr:rowOff>82550</xdr:rowOff>
    </xdr:to>
    <xdr:graphicFrame macro="">
      <xdr:nvGraphicFramePr>
        <xdr:cNvPr id="2" name="Chart 1">
          <a:extLst>
            <a:ext uri="{FF2B5EF4-FFF2-40B4-BE49-F238E27FC236}">
              <a16:creationId xmlns:a16="http://schemas.microsoft.com/office/drawing/2014/main" id="{8FC3BD63-082C-4E0F-99B9-72E28E9467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76200</xdr:colOff>
      <xdr:row>0</xdr:row>
      <xdr:rowOff>19050</xdr:rowOff>
    </xdr:from>
    <xdr:to>
      <xdr:col>11</xdr:col>
      <xdr:colOff>349250</xdr:colOff>
      <xdr:row>10</xdr:row>
      <xdr:rowOff>171450</xdr:rowOff>
    </xdr:to>
    <xdr:graphicFrame macro="">
      <xdr:nvGraphicFramePr>
        <xdr:cNvPr id="3" name="Chart 2">
          <a:extLst>
            <a:ext uri="{FF2B5EF4-FFF2-40B4-BE49-F238E27FC236}">
              <a16:creationId xmlns:a16="http://schemas.microsoft.com/office/drawing/2014/main" id="{93D5D1DF-784C-4D4B-8F45-48DDB37150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11</xdr:row>
      <xdr:rowOff>95250</xdr:rowOff>
    </xdr:from>
    <xdr:to>
      <xdr:col>6</xdr:col>
      <xdr:colOff>368300</xdr:colOff>
      <xdr:row>24</xdr:row>
      <xdr:rowOff>63500</xdr:rowOff>
    </xdr:to>
    <xdr:graphicFrame macro="">
      <xdr:nvGraphicFramePr>
        <xdr:cNvPr id="4" name="Chart 3">
          <a:extLst>
            <a:ext uri="{FF2B5EF4-FFF2-40B4-BE49-F238E27FC236}">
              <a16:creationId xmlns:a16="http://schemas.microsoft.com/office/drawing/2014/main" id="{BF33B052-5D50-45DF-A2AE-7ABD4E708C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463550</xdr:colOff>
      <xdr:row>11</xdr:row>
      <xdr:rowOff>69850</xdr:rowOff>
    </xdr:from>
    <xdr:to>
      <xdr:col>12</xdr:col>
      <xdr:colOff>438150</xdr:colOff>
      <xdr:row>23</xdr:row>
      <xdr:rowOff>101600</xdr:rowOff>
    </xdr:to>
    <xdr:graphicFrame macro="">
      <xdr:nvGraphicFramePr>
        <xdr:cNvPr id="18" name="Chart 17">
          <a:extLst>
            <a:ext uri="{FF2B5EF4-FFF2-40B4-BE49-F238E27FC236}">
              <a16:creationId xmlns:a16="http://schemas.microsoft.com/office/drawing/2014/main" id="{AFB11938-CBC6-4FF9-8E2D-9E659B58C1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463550</xdr:colOff>
      <xdr:row>0</xdr:row>
      <xdr:rowOff>38100</xdr:rowOff>
    </xdr:from>
    <xdr:to>
      <xdr:col>14</xdr:col>
      <xdr:colOff>463550</xdr:colOff>
      <xdr:row>9</xdr:row>
      <xdr:rowOff>161925</xdr:rowOff>
    </xdr:to>
    <mc:AlternateContent xmlns:mc="http://schemas.openxmlformats.org/markup-compatibility/2006" xmlns:a14="http://schemas.microsoft.com/office/drawing/2010/main">
      <mc:Choice Requires="a14">
        <xdr:graphicFrame macro="">
          <xdr:nvGraphicFramePr>
            <xdr:cNvPr id="19" name="Department">
              <a:extLst>
                <a:ext uri="{FF2B5EF4-FFF2-40B4-BE49-F238E27FC236}">
                  <a16:creationId xmlns:a16="http://schemas.microsoft.com/office/drawing/2014/main" id="{D2483359-0332-4D47-92CA-57EDFCB78966}"/>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169150" y="38100"/>
              <a:ext cx="1828800" cy="1781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539750</xdr:colOff>
      <xdr:row>0</xdr:row>
      <xdr:rowOff>25400</xdr:rowOff>
    </xdr:from>
    <xdr:to>
      <xdr:col>17</xdr:col>
      <xdr:colOff>539750</xdr:colOff>
      <xdr:row>9</xdr:row>
      <xdr:rowOff>152400</xdr:rowOff>
    </xdr:to>
    <mc:AlternateContent xmlns:mc="http://schemas.openxmlformats.org/markup-compatibility/2006" xmlns:a14="http://schemas.microsoft.com/office/drawing/2010/main">
      <mc:Choice Requires="a14">
        <xdr:graphicFrame macro="">
          <xdr:nvGraphicFramePr>
            <xdr:cNvPr id="20" name="Country">
              <a:extLst>
                <a:ext uri="{FF2B5EF4-FFF2-40B4-BE49-F238E27FC236}">
                  <a16:creationId xmlns:a16="http://schemas.microsoft.com/office/drawing/2014/main" id="{94449125-62F1-453F-A00A-2CEAE0283C27}"/>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9074150" y="25400"/>
              <a:ext cx="1828800" cy="1784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44450</xdr:colOff>
      <xdr:row>11</xdr:row>
      <xdr:rowOff>107950</xdr:rowOff>
    </xdr:from>
    <xdr:to>
      <xdr:col>16</xdr:col>
      <xdr:colOff>19050</xdr:colOff>
      <xdr:row>20</xdr:row>
      <xdr:rowOff>38099</xdr:rowOff>
    </xdr:to>
    <mc:AlternateContent xmlns:mc="http://schemas.openxmlformats.org/markup-compatibility/2006" xmlns:a14="http://schemas.microsoft.com/office/drawing/2010/main">
      <mc:Choice Requires="a14">
        <xdr:graphicFrame macro="">
          <xdr:nvGraphicFramePr>
            <xdr:cNvPr id="22" name="Gender2">
              <a:extLst>
                <a:ext uri="{FF2B5EF4-FFF2-40B4-BE49-F238E27FC236}">
                  <a16:creationId xmlns:a16="http://schemas.microsoft.com/office/drawing/2014/main" id="{A09AFEA6-DB73-48A8-A9AA-4C6F35B50AF6}"/>
                </a:ext>
              </a:extLst>
            </xdr:cNvPr>
            <xdr:cNvGraphicFramePr/>
          </xdr:nvGraphicFramePr>
          <xdr:xfrm>
            <a:off x="0" y="0"/>
            <a:ext cx="0" cy="0"/>
          </xdr:xfrm>
          <a:graphic>
            <a:graphicData uri="http://schemas.microsoft.com/office/drawing/2010/slicer">
              <sle:slicer xmlns:sle="http://schemas.microsoft.com/office/drawing/2010/slicer" name="Gender2"/>
            </a:graphicData>
          </a:graphic>
        </xdr:graphicFrame>
      </mc:Choice>
      <mc:Fallback xmlns="">
        <xdr:sp macro="" textlink="">
          <xdr:nvSpPr>
            <xdr:cNvPr id="0" name=""/>
            <xdr:cNvSpPr>
              <a:spLocks noTextEdit="1"/>
            </xdr:cNvSpPr>
          </xdr:nvSpPr>
          <xdr:spPr>
            <a:xfrm>
              <a:off x="7969250" y="2133600"/>
              <a:ext cx="1803400" cy="15874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90.598951273147" createdVersion="6" refreshedVersion="6" minRefreshableVersion="3" recordCount="150" xr:uid="{A7890BCE-1AF9-41FD-90EC-32B6BB9F3280}">
  <cacheSource type="worksheet">
    <worksheetSource ref="A1:T151" sheet="Cleaned data"/>
  </cacheSource>
  <cacheFields count="20">
    <cacheField name="Employee ID" numFmtId="0">
      <sharedItems/>
    </cacheField>
    <cacheField name="Employee ID2" numFmtId="0">
      <sharedItems/>
    </cacheField>
    <cacheField name="Employee ID3" numFmtId="0">
      <sharedItems containsSemiMixedTypes="0" containsString="0" containsNumber="1" containsInteger="1" minValue="1000" maxValue="1149"/>
    </cacheField>
    <cacheField name="Name" numFmtId="0">
      <sharedItems/>
    </cacheField>
    <cacheField name="Department" numFmtId="0">
      <sharedItems count="5">
        <s v="Finance"/>
        <s v="HR"/>
        <s v="Sales"/>
        <s v="IT"/>
        <s v="Marketing"/>
      </sharedItems>
    </cacheField>
    <cacheField name="Country" numFmtId="0">
      <sharedItems count="5">
        <s v="India"/>
        <s v="Germany"/>
        <s v="USA"/>
        <s v="UK"/>
        <s v="Australia"/>
      </sharedItems>
    </cacheField>
    <cacheField name="Salary" numFmtId="165">
      <sharedItems containsMixedTypes="1" containsNumber="1" containsInteger="1" minValue="30280" maxValue="99621"/>
    </cacheField>
    <cacheField name="Date of Joining" numFmtId="167">
      <sharedItems containsNonDate="0" containsDate="1" containsString="0" containsBlank="1" minDate="2015-01-11T00:00:00" maxDate="2017-11-13T00:00:00"/>
    </cacheField>
    <cacheField name="Performance Rating" numFmtId="0">
      <sharedItems containsString="0" containsBlank="1" containsNumber="1" containsInteger="1" minValue="1" maxValue="5"/>
    </cacheField>
    <cacheField name="Gender" numFmtId="0">
      <sharedItems containsBlank="1"/>
    </cacheField>
    <cacheField name="Email" numFmtId="0">
      <sharedItems/>
    </cacheField>
    <cacheField name="Salary2" numFmtId="166">
      <sharedItems containsSemiMixedTypes="0" containsString="0" containsNumber="1" minValue="30280" maxValue="99621" count="147">
        <n v="65604.55"/>
        <n v="54255"/>
        <n v="63184"/>
        <n v="94406"/>
        <n v="64120"/>
        <n v="78421"/>
        <n v="67721"/>
        <n v="35364"/>
        <n v="97881"/>
        <n v="91846"/>
        <n v="64247"/>
        <n v="91180"/>
        <n v="96418"/>
        <n v="62158"/>
        <n v="59894"/>
        <n v="92443"/>
        <n v="90271"/>
        <n v="41341"/>
        <n v="73602"/>
        <n v="67531"/>
        <n v="67834.565217391311"/>
        <n v="98922"/>
        <n v="38333"/>
        <n v="36515"/>
        <n v="91005"/>
        <n v="52272"/>
        <n v="76518"/>
        <n v="41448"/>
        <n v="49282"/>
        <n v="92959"/>
        <n v="92259"/>
        <n v="92299"/>
        <n v="95586"/>
        <n v="95367"/>
        <n v="79549"/>
        <n v="54463"/>
        <n v="89781"/>
        <n v="64796"/>
        <n v="52093"/>
        <n v="48224"/>
        <n v="33956"/>
        <n v="64913"/>
        <n v="35326"/>
        <n v="81610"/>
        <n v="58962"/>
        <n v="92701"/>
        <n v="58245"/>
        <n v="66513"/>
        <n v="78720"/>
        <n v="30686"/>
        <n v="39423"/>
        <n v="30280"/>
        <n v="33352"/>
        <n v="75633"/>
        <n v="74815"/>
        <n v="60011"/>
        <n v="96949"/>
        <n v="84924"/>
        <n v="82033"/>
        <n v="65071.98"/>
        <n v="31499"/>
        <n v="97981"/>
        <n v="36541"/>
        <n v="84737"/>
        <n v="33468"/>
        <n v="96365"/>
        <n v="61942"/>
        <n v="41467"/>
        <n v="77096"/>
        <n v="69952"/>
        <n v="85065"/>
        <n v="56512"/>
        <n v="91101"/>
        <n v="41243"/>
        <n v="96142"/>
        <n v="94301"/>
        <n v="69166"/>
        <n v="78245"/>
        <n v="66079"/>
        <n v="95621"/>
        <n v="42262"/>
        <n v="99621"/>
        <n v="44682"/>
        <n v="35163"/>
        <n v="33483"/>
        <n v="55303"/>
        <n v="63434"/>
        <n v="38830"/>
        <n v="50741"/>
        <n v="69420"/>
        <n v="80588"/>
        <n v="76238"/>
        <n v="33264"/>
        <n v="96101"/>
        <n v="72939"/>
        <n v="89333"/>
        <n v="70470"/>
        <n v="70096"/>
        <n v="66503"/>
        <n v="42096"/>
        <n v="79145"/>
        <n v="61556"/>
        <n v="87963"/>
        <n v="48325"/>
        <n v="86412"/>
        <n v="66761"/>
        <n v="88850"/>
        <n v="31293"/>
        <n v="34306"/>
        <n v="78330"/>
        <n v="47653"/>
        <n v="44627"/>
        <n v="92343"/>
        <n v="38837"/>
        <n v="73483"/>
        <n v="95032"/>
        <n v="44358"/>
        <n v="66157.5"/>
        <n v="45676"/>
        <n v="52036"/>
        <n v="30357"/>
        <n v="60034"/>
        <n v="90019"/>
        <n v="71494"/>
        <n v="91953"/>
        <n v="30402"/>
        <n v="62994"/>
        <n v="48289"/>
        <n v="34402"/>
        <n v="38678"/>
        <n v="45758"/>
        <n v="62476"/>
        <n v="39280"/>
        <n v="60335"/>
        <n v="84968"/>
        <n v="84750"/>
        <n v="73348"/>
        <n v="67929.08"/>
        <n v="66882"/>
        <n v="86775"/>
        <n v="91620"/>
        <n v="94148"/>
        <n v="35627"/>
        <n v="57141"/>
        <n v="65270"/>
        <n v="67335"/>
        <n v="98475"/>
      </sharedItems>
    </cacheField>
    <cacheField name="Date of Joining2" numFmtId="167">
      <sharedItems containsSemiMixedTypes="0" containsNonDate="0" containsDate="1" containsString="0" minDate="2015-01-11T00:00:00" maxDate="2017-11-13T00:00:00"/>
    </cacheField>
    <cacheField name="Performance Rating2" numFmtId="0">
      <sharedItems containsSemiMixedTypes="0" containsString="0" containsNumber="1" minValue="1" maxValue="5"/>
    </cacheField>
    <cacheField name="Performance Rating22" numFmtId="0">
      <sharedItems containsSemiMixedTypes="0" containsString="0" containsNumber="1" containsInteger="1" minValue="1" maxValue="5"/>
    </cacheField>
    <cacheField name="Gender2" numFmtId="0">
      <sharedItems count="4">
        <s v="Unknown"/>
        <s v="Other"/>
        <s v="Male"/>
        <s v="Female"/>
      </sharedItems>
    </cacheField>
    <cacheField name="Today" numFmtId="14">
      <sharedItems containsSemiMixedTypes="0" containsNonDate="0" containsDate="1" containsString="0" minDate="2025-11-29T00:00:00" maxDate="2025-11-30T00:00:00"/>
    </cacheField>
    <cacheField name="Now" numFmtId="22">
      <sharedItems containsSemiMixedTypes="0" containsNonDate="0" containsDate="1" containsString="0" minDate="2025-11-29T13:09:52" maxDate="2025-11-29T13:09:52"/>
    </cacheField>
    <cacheField name="Date of Joining Year" numFmtId="0">
      <sharedItems containsSemiMixedTypes="0" containsString="0" containsNumber="1" containsInteger="1" minValue="2015" maxValue="2017"/>
    </cacheField>
    <cacheField name="Date of Joining Month" numFmtId="0">
      <sharedItems/>
    </cacheField>
  </cacheFields>
  <extLst>
    <ext xmlns:x14="http://schemas.microsoft.com/office/spreadsheetml/2009/9/main" uri="{725AE2AE-9491-48be-B2B4-4EB974FC3084}">
      <x14:pivotCacheDefinition pivotCacheId="2109514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s v="EMP1000"/>
    <s v="EMP"/>
    <n v="1000"/>
    <s v="Unknown"/>
    <x v="0"/>
    <x v="0"/>
    <s v="N/A"/>
    <m/>
    <n v="2"/>
    <s v="Unknown"/>
    <s v="invalid_email"/>
    <x v="0"/>
    <d v="2016-03-25T06:00:00"/>
    <n v="2"/>
    <n v="2"/>
    <x v="0"/>
    <d v="2025-11-29T00:00:00"/>
    <d v="2025-11-29T13:09:52"/>
    <n v="2016"/>
    <s v="Mar"/>
  </r>
  <r>
    <s v="EMP1001"/>
    <s v="EMP"/>
    <n v="1001"/>
    <s v="Eve Adams"/>
    <x v="1"/>
    <x v="1"/>
    <n v="54255"/>
    <d v="2015-01-11T00:00:00"/>
    <n v="1"/>
    <s v="Other"/>
    <s v="user106@example.com"/>
    <x v="1"/>
    <d v="2015-01-11T00:00:00"/>
    <n v="1"/>
    <n v="1"/>
    <x v="1"/>
    <d v="2025-11-29T00:00:00"/>
    <d v="2025-11-29T13:09:52"/>
    <n v="2015"/>
    <s v="Jan"/>
  </r>
  <r>
    <s v="EMP1002"/>
    <s v="EMP"/>
    <n v="1002"/>
    <s v="Alice Brown"/>
    <x v="0"/>
    <x v="1"/>
    <n v="63184"/>
    <d v="2015-01-18T00:00:00"/>
    <n v="2"/>
    <m/>
    <s v="user176@example.com"/>
    <x v="2"/>
    <d v="2015-01-18T00:00:00"/>
    <n v="2"/>
    <n v="2"/>
    <x v="2"/>
    <d v="2025-11-29T00:00:00"/>
    <d v="2025-11-29T13:09:52"/>
    <n v="2015"/>
    <s v="Jan"/>
  </r>
  <r>
    <s v="EMP1003"/>
    <s v="EMP"/>
    <n v="1003"/>
    <s v="John Doe"/>
    <x v="2"/>
    <x v="2"/>
    <n v="94406"/>
    <d v="2015-01-25T00:00:00"/>
    <n v="1"/>
    <s v="Male"/>
    <s v="user168@example.com"/>
    <x v="3"/>
    <d v="2015-01-25T00:00:00"/>
    <n v="1"/>
    <n v="1"/>
    <x v="2"/>
    <d v="2025-11-29T00:00:00"/>
    <d v="2025-11-29T13:09:52"/>
    <n v="2015"/>
    <s v="Jan"/>
  </r>
  <r>
    <s v="EMP1004"/>
    <s v="EMP"/>
    <n v="1004"/>
    <s v="Jane Smith"/>
    <x v="2"/>
    <x v="1"/>
    <n v="64120"/>
    <d v="2015-02-01T00:00:00"/>
    <n v="1"/>
    <s v="Male"/>
    <s v="user49@example.com"/>
    <x v="4"/>
    <d v="2015-02-01T00:00:00"/>
    <n v="1"/>
    <n v="1"/>
    <x v="2"/>
    <d v="2025-11-29T00:00:00"/>
    <d v="2025-11-29T13:09:52"/>
    <n v="2015"/>
    <s v="Feb"/>
  </r>
  <r>
    <s v="EMP1005"/>
    <s v="EMP"/>
    <n v="1005"/>
    <s v="Alice Brown"/>
    <x v="3"/>
    <x v="0"/>
    <n v="78421"/>
    <d v="2015-02-08T00:00:00"/>
    <n v="2"/>
    <s v="Female"/>
    <s v="user24@example.com"/>
    <x v="5"/>
    <d v="2015-02-08T00:00:00"/>
    <n v="2"/>
    <n v="2"/>
    <x v="3"/>
    <d v="2025-11-29T00:00:00"/>
    <d v="2025-11-29T13:09:52"/>
    <n v="2015"/>
    <s v="Feb"/>
  </r>
  <r>
    <s v="EMP1006"/>
    <s v="EMP"/>
    <n v="1006"/>
    <s v="Sam Wilson"/>
    <x v="2"/>
    <x v="0"/>
    <n v="67721"/>
    <d v="2015-02-15T00:00:00"/>
    <m/>
    <s v="Male"/>
    <s v="user168@example.com"/>
    <x v="6"/>
    <d v="2015-02-15T00:00:00"/>
    <n v="2.7272727272727271"/>
    <n v="3"/>
    <x v="2"/>
    <d v="2025-11-29T00:00:00"/>
    <d v="2025-11-29T13:09:52"/>
    <n v="2015"/>
    <s v="Feb"/>
  </r>
  <r>
    <s v="EMP1007"/>
    <s v="EMP"/>
    <n v="1007"/>
    <s v="Chris Lee"/>
    <x v="4"/>
    <x v="0"/>
    <n v="35364"/>
    <d v="2015-02-22T00:00:00"/>
    <n v="2"/>
    <s v="Other"/>
    <s v="user26@example.com"/>
    <x v="7"/>
    <d v="2015-02-22T00:00:00"/>
    <n v="2"/>
    <n v="2"/>
    <x v="1"/>
    <d v="2025-11-29T00:00:00"/>
    <d v="2025-11-29T13:09:52"/>
    <n v="2015"/>
    <s v="Feb"/>
  </r>
  <r>
    <s v="EMP1008"/>
    <s v="EMP"/>
    <n v="1008"/>
    <s v="Alice Brown"/>
    <x v="3"/>
    <x v="1"/>
    <n v="97881"/>
    <d v="2015-03-01T00:00:00"/>
    <m/>
    <s v="Female"/>
    <s v="user25@example.com"/>
    <x v="8"/>
    <d v="2015-03-01T00:00:00"/>
    <n v="2.9444444444444446"/>
    <n v="3"/>
    <x v="3"/>
    <d v="2025-11-29T00:00:00"/>
    <d v="2025-11-29T13:09:52"/>
    <n v="2015"/>
    <s v="Mar"/>
  </r>
  <r>
    <s v="EMP1009"/>
    <s v="EMP"/>
    <n v="1009"/>
    <s v="Chris Lee"/>
    <x v="1"/>
    <x v="3"/>
    <n v="91846"/>
    <d v="2015-03-08T00:00:00"/>
    <m/>
    <s v="Male"/>
    <s v="user153@example.com"/>
    <x v="9"/>
    <d v="2015-03-08T00:00:00"/>
    <n v="2.7"/>
    <n v="3"/>
    <x v="2"/>
    <d v="2025-11-29T00:00:00"/>
    <d v="2025-11-29T13:09:52"/>
    <n v="2015"/>
    <s v="Mar"/>
  </r>
  <r>
    <s v="EMP1010"/>
    <s v="EMP"/>
    <n v="1010"/>
    <s v="Sam Wilson"/>
    <x v="0"/>
    <x v="3"/>
    <n v="64247"/>
    <d v="2015-03-15T00:00:00"/>
    <n v="1"/>
    <s v="Female"/>
    <s v="user18@example.com"/>
    <x v="10"/>
    <d v="2015-03-15T00:00:00"/>
    <n v="1"/>
    <n v="1"/>
    <x v="3"/>
    <d v="2025-11-29T00:00:00"/>
    <d v="2025-11-29T13:09:52"/>
    <n v="2015"/>
    <s v="Mar"/>
  </r>
  <r>
    <s v="EMP1011"/>
    <s v="EMP"/>
    <n v="1011"/>
    <s v="Sam Wilson"/>
    <x v="3"/>
    <x v="2"/>
    <n v="91180"/>
    <d v="2015-03-22T00:00:00"/>
    <n v="5"/>
    <s v="Male"/>
    <s v="user1@example.com"/>
    <x v="11"/>
    <d v="2015-03-22T00:00:00"/>
    <n v="5"/>
    <n v="5"/>
    <x v="2"/>
    <d v="2025-11-29T00:00:00"/>
    <d v="2025-11-29T13:09:52"/>
    <n v="2015"/>
    <s v="Mar"/>
  </r>
  <r>
    <s v="EMP1012"/>
    <s v="EMP"/>
    <n v="1012"/>
    <s v="Bob Johnson"/>
    <x v="2"/>
    <x v="0"/>
    <n v="96418"/>
    <d v="2015-03-29T00:00:00"/>
    <n v="5"/>
    <s v="Male"/>
    <s v="user106@example.com"/>
    <x v="12"/>
    <d v="2015-03-29T00:00:00"/>
    <n v="5"/>
    <n v="5"/>
    <x v="2"/>
    <d v="2025-11-29T00:00:00"/>
    <d v="2025-11-29T13:09:52"/>
    <n v="2015"/>
    <s v="Mar"/>
  </r>
  <r>
    <s v="EMP1013"/>
    <s v="EMP"/>
    <n v="1013"/>
    <s v="Sam Wilson"/>
    <x v="4"/>
    <x v="0"/>
    <n v="62158"/>
    <d v="2015-04-05T00:00:00"/>
    <n v="4"/>
    <m/>
    <s v="user180@example.com"/>
    <x v="13"/>
    <d v="2015-04-05T00:00:00"/>
    <n v="4"/>
    <n v="4"/>
    <x v="2"/>
    <d v="2025-11-29T00:00:00"/>
    <d v="2025-11-29T13:09:52"/>
    <n v="2015"/>
    <s v="Apr"/>
  </r>
  <r>
    <s v="EMP1014"/>
    <s v="EMP"/>
    <n v="1014"/>
    <s v="Jane Smith"/>
    <x v="1"/>
    <x v="0"/>
    <n v="59894"/>
    <d v="2015-04-12T00:00:00"/>
    <n v="2"/>
    <s v="Male"/>
    <s v="user184@example.com"/>
    <x v="14"/>
    <d v="2015-04-12T00:00:00"/>
    <n v="2"/>
    <n v="2"/>
    <x v="2"/>
    <d v="2025-11-29T00:00:00"/>
    <d v="2025-11-29T13:09:52"/>
    <n v="2015"/>
    <s v="Apr"/>
  </r>
  <r>
    <s v="EMP1015"/>
    <s v="EMP"/>
    <n v="1015"/>
    <s v="Unknown"/>
    <x v="3"/>
    <x v="0"/>
    <n v="92443"/>
    <d v="2015-04-19T00:00:00"/>
    <n v="3"/>
    <s v="Other"/>
    <s v="user3@example.com"/>
    <x v="15"/>
    <d v="2015-04-19T00:00:00"/>
    <n v="3"/>
    <n v="3"/>
    <x v="1"/>
    <d v="2025-11-29T00:00:00"/>
    <d v="2025-11-29T13:09:52"/>
    <n v="2015"/>
    <s v="Apr"/>
  </r>
  <r>
    <s v="EMP1016"/>
    <s v="EMP"/>
    <n v="1016"/>
    <s v="Bob Johnson"/>
    <x v="4"/>
    <x v="1"/>
    <n v="90271"/>
    <d v="2015-04-26T00:00:00"/>
    <m/>
    <m/>
    <s v="user64@example.com"/>
    <x v="16"/>
    <d v="2015-04-26T00:00:00"/>
    <n v="3.1086956521739131"/>
    <n v="3"/>
    <x v="2"/>
    <d v="2025-11-29T00:00:00"/>
    <d v="2025-11-29T13:09:52"/>
    <n v="2015"/>
    <s v="Apr"/>
  </r>
  <r>
    <s v="EMP1017"/>
    <s v="EMP"/>
    <n v="1017"/>
    <s v="Jane Smith"/>
    <x v="0"/>
    <x v="4"/>
    <n v="41341"/>
    <d v="2015-05-03T00:00:00"/>
    <n v="1"/>
    <s v="Other"/>
    <s v="user38@example.com"/>
    <x v="17"/>
    <d v="2015-05-03T00:00:00"/>
    <n v="1"/>
    <n v="1"/>
    <x v="1"/>
    <d v="2025-11-29T00:00:00"/>
    <d v="2025-11-29T13:09:52"/>
    <n v="2015"/>
    <s v="May"/>
  </r>
  <r>
    <s v="EMP1018"/>
    <s v="EMP"/>
    <n v="1018"/>
    <s v="Alice Brown"/>
    <x v="0"/>
    <x v="3"/>
    <n v="73602"/>
    <d v="2015-05-10T00:00:00"/>
    <m/>
    <m/>
    <s v="user96@example.com"/>
    <x v="18"/>
    <d v="2015-05-10T00:00:00"/>
    <n v="2.5789473684210527"/>
    <n v="3"/>
    <x v="2"/>
    <d v="2025-11-29T00:00:00"/>
    <d v="2025-11-29T13:09:52"/>
    <n v="2015"/>
    <s v="May"/>
  </r>
  <r>
    <s v="EMP1019"/>
    <s v="EMP"/>
    <n v="1019"/>
    <s v="Eve Adams"/>
    <x v="4"/>
    <x v="0"/>
    <n v="67531"/>
    <d v="2015-05-17T00:00:00"/>
    <n v="5"/>
    <s v="Female"/>
    <s v="user151@example.com"/>
    <x v="19"/>
    <d v="2015-05-17T00:00:00"/>
    <n v="5"/>
    <n v="5"/>
    <x v="3"/>
    <d v="2025-11-29T00:00:00"/>
    <d v="2025-11-29T13:09:52"/>
    <n v="2015"/>
    <s v="May"/>
  </r>
  <r>
    <s v="EMP1020"/>
    <s v="EMP"/>
    <n v="1020"/>
    <s v="Jane Smith"/>
    <x v="1"/>
    <x v="2"/>
    <s v="N/A"/>
    <d v="2015-05-24T00:00:00"/>
    <n v="2"/>
    <s v="Other"/>
    <s v="user200@example.com"/>
    <x v="20"/>
    <d v="2015-05-24T00:00:00"/>
    <n v="2"/>
    <n v="2"/>
    <x v="1"/>
    <d v="2025-11-29T00:00:00"/>
    <d v="2025-11-29T13:09:52"/>
    <n v="2015"/>
    <s v="May"/>
  </r>
  <r>
    <s v="EMP1021"/>
    <s v="EMP"/>
    <n v="1021"/>
    <s v="Jane Smith"/>
    <x v="1"/>
    <x v="0"/>
    <n v="98922"/>
    <d v="2015-05-31T00:00:00"/>
    <n v="4"/>
    <m/>
    <s v="user77@example.com"/>
    <x v="21"/>
    <d v="2015-05-31T00:00:00"/>
    <n v="4"/>
    <n v="4"/>
    <x v="2"/>
    <d v="2025-11-29T00:00:00"/>
    <d v="2025-11-29T13:09:52"/>
    <n v="2015"/>
    <s v="May"/>
  </r>
  <r>
    <s v="EMP1022"/>
    <s v="EMP"/>
    <n v="1022"/>
    <s v="Eve Adams"/>
    <x v="0"/>
    <x v="0"/>
    <n v="38333"/>
    <d v="2015-06-07T00:00:00"/>
    <n v="5"/>
    <m/>
    <s v="user128@example.com"/>
    <x v="22"/>
    <d v="2015-06-07T00:00:00"/>
    <n v="5"/>
    <n v="5"/>
    <x v="2"/>
    <d v="2025-11-29T00:00:00"/>
    <d v="2025-11-29T13:09:52"/>
    <n v="2015"/>
    <s v="Jun"/>
  </r>
  <r>
    <s v="EMP1023"/>
    <s v="EMP"/>
    <n v="1023"/>
    <s v="Alice Brown"/>
    <x v="4"/>
    <x v="3"/>
    <n v="36515"/>
    <d v="2015-06-14T00:00:00"/>
    <n v="3"/>
    <s v="Male"/>
    <s v="user149@example.com"/>
    <x v="23"/>
    <d v="2015-06-14T00:00:00"/>
    <n v="3"/>
    <n v="3"/>
    <x v="2"/>
    <d v="2025-11-29T00:00:00"/>
    <d v="2025-11-29T13:09:52"/>
    <n v="2015"/>
    <s v="Jun"/>
  </r>
  <r>
    <s v="EMP1024"/>
    <s v="EMP"/>
    <n v="1024"/>
    <s v="Sam Wilson"/>
    <x v="0"/>
    <x v="0"/>
    <n v="91005"/>
    <d v="2015-06-21T00:00:00"/>
    <n v="1"/>
    <s v="Other"/>
    <s v="user122@example.com"/>
    <x v="24"/>
    <d v="2015-06-21T00:00:00"/>
    <n v="1"/>
    <n v="1"/>
    <x v="1"/>
    <d v="2025-11-29T00:00:00"/>
    <d v="2025-11-29T13:09:52"/>
    <n v="2015"/>
    <s v="Jun"/>
  </r>
  <r>
    <s v="EMP1025"/>
    <s v="EMP"/>
    <n v="1025"/>
    <s v="Chris Lee"/>
    <x v="4"/>
    <x v="0"/>
    <n v="52272"/>
    <d v="2015-06-28T00:00:00"/>
    <n v="3"/>
    <m/>
    <s v="user41@example.com"/>
    <x v="25"/>
    <d v="2015-06-28T00:00:00"/>
    <n v="3"/>
    <n v="3"/>
    <x v="2"/>
    <d v="2025-11-29T00:00:00"/>
    <d v="2025-11-29T13:09:52"/>
    <n v="2015"/>
    <s v="Jun"/>
  </r>
  <r>
    <s v="EMP1026"/>
    <s v="EMP"/>
    <n v="1026"/>
    <s v="Eve Adams"/>
    <x v="2"/>
    <x v="1"/>
    <n v="76518"/>
    <d v="2015-07-05T00:00:00"/>
    <n v="2"/>
    <s v="Female"/>
    <s v="user68@example.com"/>
    <x v="26"/>
    <d v="2015-07-05T00:00:00"/>
    <n v="2"/>
    <n v="2"/>
    <x v="3"/>
    <d v="2025-11-29T00:00:00"/>
    <d v="2025-11-29T13:09:52"/>
    <n v="2015"/>
    <s v="Jul"/>
  </r>
  <r>
    <s v="EMP1027"/>
    <s v="EMP"/>
    <n v="1027"/>
    <s v="Alice Brown"/>
    <x v="3"/>
    <x v="3"/>
    <n v="41448"/>
    <d v="2015-07-12T00:00:00"/>
    <n v="3"/>
    <s v="Other"/>
    <s v="user103@example.com"/>
    <x v="27"/>
    <d v="2015-07-12T00:00:00"/>
    <n v="3"/>
    <n v="3"/>
    <x v="1"/>
    <d v="2025-11-29T00:00:00"/>
    <d v="2025-11-29T13:09:52"/>
    <n v="2015"/>
    <s v="Jul"/>
  </r>
  <r>
    <s v="EMP1028"/>
    <s v="EMP"/>
    <n v="1028"/>
    <s v="John Doe"/>
    <x v="1"/>
    <x v="3"/>
    <n v="49282"/>
    <d v="2015-07-19T00:00:00"/>
    <n v="2"/>
    <s v="Female"/>
    <s v="user135@example.com"/>
    <x v="28"/>
    <d v="2015-07-19T00:00:00"/>
    <n v="2"/>
    <n v="2"/>
    <x v="3"/>
    <d v="2025-11-29T00:00:00"/>
    <d v="2025-11-29T13:09:52"/>
    <n v="2015"/>
    <s v="Jul"/>
  </r>
  <r>
    <s v="EMP1029"/>
    <s v="EMP"/>
    <n v="1029"/>
    <s v="Bob Johnson"/>
    <x v="4"/>
    <x v="3"/>
    <n v="92959"/>
    <d v="2015-07-26T00:00:00"/>
    <n v="5"/>
    <m/>
    <s v="user83@example.com"/>
    <x v="29"/>
    <d v="2015-07-26T00:00:00"/>
    <n v="5"/>
    <n v="5"/>
    <x v="2"/>
    <d v="2025-11-29T00:00:00"/>
    <d v="2025-11-29T13:09:52"/>
    <n v="2015"/>
    <s v="Jul"/>
  </r>
  <r>
    <s v="EMP1030"/>
    <s v="EMP"/>
    <n v="1030"/>
    <s v="Unknown"/>
    <x v="4"/>
    <x v="0"/>
    <n v="92259"/>
    <m/>
    <n v="1"/>
    <s v="Unknown"/>
    <s v="user109@example.com"/>
    <x v="30"/>
    <d v="2016-08-08T00:00:00"/>
    <n v="1"/>
    <n v="1"/>
    <x v="0"/>
    <d v="2025-11-29T00:00:00"/>
    <d v="2025-11-29T13:09:52"/>
    <n v="2016"/>
    <s v="Aug"/>
  </r>
  <r>
    <s v="EMP1031"/>
    <s v="EMP"/>
    <n v="1031"/>
    <s v="Eve Adams"/>
    <x v="1"/>
    <x v="1"/>
    <n v="92299"/>
    <d v="2015-08-09T00:00:00"/>
    <n v="3"/>
    <s v="Male"/>
    <s v="user143@example.com"/>
    <x v="31"/>
    <d v="2015-08-09T00:00:00"/>
    <n v="3"/>
    <n v="3"/>
    <x v="2"/>
    <d v="2025-11-29T00:00:00"/>
    <d v="2025-11-29T13:09:52"/>
    <n v="2015"/>
    <s v="Aug"/>
  </r>
  <r>
    <s v="EMP1032"/>
    <s v="EMP"/>
    <n v="1032"/>
    <s v="Sam Wilson"/>
    <x v="1"/>
    <x v="0"/>
    <n v="95586"/>
    <d v="2015-08-16T00:00:00"/>
    <n v="3"/>
    <s v="Other"/>
    <s v="user190@example.com"/>
    <x v="32"/>
    <d v="2015-08-16T00:00:00"/>
    <n v="3"/>
    <n v="3"/>
    <x v="1"/>
    <d v="2025-11-29T00:00:00"/>
    <d v="2025-11-29T13:09:52"/>
    <n v="2015"/>
    <s v="Aug"/>
  </r>
  <r>
    <s v="EMP1033"/>
    <s v="EMP"/>
    <n v="1033"/>
    <s v="Chris Lee"/>
    <x v="4"/>
    <x v="2"/>
    <n v="95367"/>
    <d v="2015-08-23T00:00:00"/>
    <m/>
    <s v="Male"/>
    <s v="user136@example.com"/>
    <x v="33"/>
    <d v="2015-08-23T00:00:00"/>
    <n v="3.1086956521739131"/>
    <n v="3"/>
    <x v="2"/>
    <d v="2025-11-29T00:00:00"/>
    <d v="2025-11-29T13:09:52"/>
    <n v="2015"/>
    <s v="Aug"/>
  </r>
  <r>
    <s v="EMP1034"/>
    <s v="EMP"/>
    <n v="1034"/>
    <s v="John Doe"/>
    <x v="2"/>
    <x v="4"/>
    <n v="79549"/>
    <d v="2015-08-30T00:00:00"/>
    <n v="3"/>
    <m/>
    <s v="user198@example.com"/>
    <x v="34"/>
    <d v="2015-08-30T00:00:00"/>
    <n v="3"/>
    <n v="3"/>
    <x v="2"/>
    <d v="2025-11-29T00:00:00"/>
    <d v="2025-11-29T13:09:52"/>
    <n v="2015"/>
    <s v="Aug"/>
  </r>
  <r>
    <s v="EMP1035"/>
    <s v="EMP"/>
    <n v="1035"/>
    <s v="Alice Brown"/>
    <x v="4"/>
    <x v="3"/>
    <n v="54463"/>
    <d v="2015-09-06T00:00:00"/>
    <n v="4"/>
    <s v="Male"/>
    <s v="invalid_email"/>
    <x v="35"/>
    <d v="2015-09-06T00:00:00"/>
    <n v="4"/>
    <n v="4"/>
    <x v="2"/>
    <d v="2025-11-29T00:00:00"/>
    <d v="2025-11-29T13:09:52"/>
    <n v="2015"/>
    <s v="Sep"/>
  </r>
  <r>
    <s v="EMP1036"/>
    <s v="EMP"/>
    <n v="1036"/>
    <s v="Alice Brown"/>
    <x v="3"/>
    <x v="2"/>
    <n v="89781"/>
    <d v="2015-09-13T00:00:00"/>
    <m/>
    <s v="Female"/>
    <s v="user31@example.com"/>
    <x v="36"/>
    <d v="2015-09-13T00:00:00"/>
    <n v="2.9444444444444446"/>
    <n v="3"/>
    <x v="3"/>
    <d v="2025-11-29T00:00:00"/>
    <d v="2025-11-29T13:09:52"/>
    <n v="2015"/>
    <s v="Sep"/>
  </r>
  <r>
    <s v="EMP1037"/>
    <s v="EMP"/>
    <n v="1037"/>
    <s v="Alice Brown"/>
    <x v="1"/>
    <x v="0"/>
    <n v="64796"/>
    <d v="2015-09-20T00:00:00"/>
    <m/>
    <s v="Other"/>
    <s v="user98@example.com"/>
    <x v="37"/>
    <d v="2015-09-20T00:00:00"/>
    <n v="2.7"/>
    <n v="3"/>
    <x v="1"/>
    <d v="2025-11-29T00:00:00"/>
    <d v="2025-11-29T13:09:52"/>
    <n v="2015"/>
    <s v="Sep"/>
  </r>
  <r>
    <s v="EMP1038"/>
    <s v="EMP"/>
    <n v="1038"/>
    <s v="John Doe"/>
    <x v="4"/>
    <x v="3"/>
    <n v="52093"/>
    <d v="2015-09-27T00:00:00"/>
    <n v="5"/>
    <m/>
    <s v="user154@example.com"/>
    <x v="38"/>
    <d v="2015-09-27T00:00:00"/>
    <n v="5"/>
    <n v="5"/>
    <x v="2"/>
    <d v="2025-11-29T00:00:00"/>
    <d v="2025-11-29T13:09:52"/>
    <n v="2015"/>
    <s v="Sep"/>
  </r>
  <r>
    <s v="EMP1039"/>
    <s v="EMP"/>
    <n v="1039"/>
    <s v="Chris Lee"/>
    <x v="1"/>
    <x v="3"/>
    <n v="48224"/>
    <d v="2015-10-04T00:00:00"/>
    <n v="3"/>
    <m/>
    <s v="user42@example.com"/>
    <x v="39"/>
    <d v="2015-10-04T00:00:00"/>
    <n v="3"/>
    <n v="3"/>
    <x v="2"/>
    <d v="2025-11-29T00:00:00"/>
    <d v="2025-11-29T13:09:52"/>
    <n v="2015"/>
    <s v="Oct"/>
  </r>
  <r>
    <s v="EMP1040"/>
    <s v="EMP"/>
    <n v="1040"/>
    <s v="Bob Johnson"/>
    <x v="0"/>
    <x v="3"/>
    <s v="N/A"/>
    <m/>
    <n v="4"/>
    <s v="Female"/>
    <s v="user89@example.com"/>
    <x v="0"/>
    <d v="2016-03-25T06:00:00"/>
    <n v="4"/>
    <n v="4"/>
    <x v="3"/>
    <d v="2025-11-29T00:00:00"/>
    <d v="2025-11-29T13:09:52"/>
    <n v="2016"/>
    <s v="Mar"/>
  </r>
  <r>
    <s v="EMP1041"/>
    <s v="EMP"/>
    <n v="1041"/>
    <s v="Alice Brown"/>
    <x v="3"/>
    <x v="1"/>
    <n v="33956"/>
    <d v="2015-10-18T00:00:00"/>
    <m/>
    <m/>
    <s v="user47@example.com"/>
    <x v="40"/>
    <d v="2015-10-18T00:00:00"/>
    <n v="2.9444444444444446"/>
    <n v="3"/>
    <x v="2"/>
    <d v="2025-11-29T00:00:00"/>
    <d v="2025-11-29T13:09:52"/>
    <n v="2015"/>
    <s v="Oct"/>
  </r>
  <r>
    <s v="EMP1042"/>
    <s v="EMP"/>
    <n v="1042"/>
    <s v="Bob Johnson"/>
    <x v="4"/>
    <x v="4"/>
    <n v="64913"/>
    <d v="2015-10-25T00:00:00"/>
    <n v="1"/>
    <s v="Female"/>
    <s v="user175@example.com"/>
    <x v="41"/>
    <d v="2015-10-25T00:00:00"/>
    <n v="1"/>
    <n v="1"/>
    <x v="3"/>
    <d v="2025-11-29T00:00:00"/>
    <d v="2025-11-29T13:09:52"/>
    <n v="2015"/>
    <s v="Oct"/>
  </r>
  <r>
    <s v="EMP1043"/>
    <s v="EMP"/>
    <n v="1043"/>
    <s v="Alice Brown"/>
    <x v="4"/>
    <x v="4"/>
    <n v="35326"/>
    <d v="2015-11-01T00:00:00"/>
    <m/>
    <s v="Female"/>
    <s v="user57@example.com"/>
    <x v="42"/>
    <d v="2015-11-01T00:00:00"/>
    <n v="3.1086956521739131"/>
    <n v="3"/>
    <x v="3"/>
    <d v="2025-11-29T00:00:00"/>
    <d v="2025-11-29T13:09:52"/>
    <n v="2015"/>
    <s v="Nov"/>
  </r>
  <r>
    <s v="EMP1044"/>
    <s v="EMP"/>
    <n v="1044"/>
    <s v="Chris Lee"/>
    <x v="0"/>
    <x v="0"/>
    <n v="81610"/>
    <d v="2015-11-08T00:00:00"/>
    <n v="1"/>
    <m/>
    <s v="user20@example.com"/>
    <x v="43"/>
    <d v="2015-11-08T00:00:00"/>
    <n v="1"/>
    <n v="1"/>
    <x v="2"/>
    <d v="2025-11-29T00:00:00"/>
    <d v="2025-11-29T13:09:52"/>
    <n v="2015"/>
    <s v="Nov"/>
  </r>
  <r>
    <s v="EMP1045"/>
    <s v="EMP"/>
    <n v="1045"/>
    <s v="Unknown"/>
    <x v="1"/>
    <x v="0"/>
    <n v="58962"/>
    <d v="2015-11-15T00:00:00"/>
    <n v="3"/>
    <s v="Other"/>
    <s v="user106@example.com"/>
    <x v="44"/>
    <d v="2015-11-15T00:00:00"/>
    <n v="3"/>
    <n v="3"/>
    <x v="1"/>
    <d v="2025-11-29T00:00:00"/>
    <d v="2025-11-29T13:09:52"/>
    <n v="2015"/>
    <s v="Nov"/>
  </r>
  <r>
    <s v="EMP1046"/>
    <s v="EMP"/>
    <n v="1046"/>
    <s v="Chris Lee"/>
    <x v="3"/>
    <x v="1"/>
    <n v="92701"/>
    <d v="2015-11-22T00:00:00"/>
    <n v="3"/>
    <s v="Other"/>
    <s v="user199@example.com"/>
    <x v="45"/>
    <d v="2015-11-22T00:00:00"/>
    <n v="3"/>
    <n v="3"/>
    <x v="1"/>
    <d v="2025-11-29T00:00:00"/>
    <d v="2025-11-29T13:09:52"/>
    <n v="2015"/>
    <s v="Nov"/>
  </r>
  <r>
    <s v="EMP1047"/>
    <s v="EMP"/>
    <n v="1047"/>
    <s v="Chris Lee"/>
    <x v="1"/>
    <x v="0"/>
    <n v="58245"/>
    <d v="2015-11-29T00:00:00"/>
    <n v="4"/>
    <m/>
    <s v="user43@example.com"/>
    <x v="46"/>
    <d v="2015-11-29T00:00:00"/>
    <n v="4"/>
    <n v="4"/>
    <x v="2"/>
    <d v="2025-11-29T00:00:00"/>
    <d v="2025-11-29T13:09:52"/>
    <n v="2015"/>
    <s v="Nov"/>
  </r>
  <r>
    <s v="EMP1048"/>
    <s v="EMP"/>
    <n v="1048"/>
    <s v="John Doe"/>
    <x v="0"/>
    <x v="0"/>
    <n v="66513"/>
    <d v="2015-12-06T00:00:00"/>
    <n v="2"/>
    <s v="Other"/>
    <s v="user24@example.com"/>
    <x v="47"/>
    <d v="2015-12-06T00:00:00"/>
    <n v="2"/>
    <n v="2"/>
    <x v="1"/>
    <d v="2025-11-29T00:00:00"/>
    <d v="2025-11-29T13:09:52"/>
    <n v="2015"/>
    <s v="Dec"/>
  </r>
  <r>
    <s v="EMP1049"/>
    <s v="EMP"/>
    <n v="1049"/>
    <s v="Eve Adams"/>
    <x v="1"/>
    <x v="1"/>
    <n v="78720"/>
    <d v="2015-12-13T00:00:00"/>
    <n v="5"/>
    <s v="Female"/>
    <s v="user89@example.com"/>
    <x v="48"/>
    <d v="2015-12-13T00:00:00"/>
    <n v="5"/>
    <n v="5"/>
    <x v="3"/>
    <d v="2025-11-29T00:00:00"/>
    <d v="2025-11-29T13:09:52"/>
    <n v="2015"/>
    <s v="Dec"/>
  </r>
  <r>
    <s v="EMP1050"/>
    <s v="EMP"/>
    <n v="1050"/>
    <s v="Chris Lee"/>
    <x v="4"/>
    <x v="0"/>
    <n v="30686"/>
    <m/>
    <n v="2"/>
    <s v="Female"/>
    <s v="user95@example.com"/>
    <x v="49"/>
    <d v="2016-08-08T00:00:00"/>
    <n v="2"/>
    <n v="2"/>
    <x v="3"/>
    <d v="2025-11-29T00:00:00"/>
    <d v="2025-11-29T13:09:52"/>
    <n v="2016"/>
    <s v="Aug"/>
  </r>
  <r>
    <s v="EMP1051"/>
    <s v="EMP"/>
    <n v="1051"/>
    <s v="Sam Wilson"/>
    <x v="2"/>
    <x v="0"/>
    <n v="39423"/>
    <d v="2015-12-27T00:00:00"/>
    <n v="5"/>
    <m/>
    <s v="user59@example.com"/>
    <x v="50"/>
    <d v="2015-12-27T00:00:00"/>
    <n v="5"/>
    <n v="5"/>
    <x v="2"/>
    <d v="2025-11-29T00:00:00"/>
    <d v="2025-11-29T13:09:52"/>
    <n v="2015"/>
    <s v="Dec"/>
  </r>
  <r>
    <s v="EMP1052"/>
    <s v="EMP"/>
    <n v="1052"/>
    <s v="Eve Adams"/>
    <x v="4"/>
    <x v="0"/>
    <n v="30280"/>
    <d v="2016-01-03T00:00:00"/>
    <n v="1"/>
    <m/>
    <s v="user152@example.com"/>
    <x v="51"/>
    <d v="2016-01-03T00:00:00"/>
    <n v="1"/>
    <n v="1"/>
    <x v="2"/>
    <d v="2025-11-29T00:00:00"/>
    <d v="2025-11-29T13:09:52"/>
    <n v="2016"/>
    <s v="Jan"/>
  </r>
  <r>
    <s v="EMP1053"/>
    <s v="EMP"/>
    <n v="1053"/>
    <s v="Eve Adams"/>
    <x v="0"/>
    <x v="3"/>
    <n v="33352"/>
    <d v="2016-01-10T00:00:00"/>
    <n v="3"/>
    <s v="Female"/>
    <s v="user200@example.com"/>
    <x v="52"/>
    <d v="2016-01-10T00:00:00"/>
    <n v="3"/>
    <n v="3"/>
    <x v="3"/>
    <d v="2025-11-29T00:00:00"/>
    <d v="2025-11-29T13:09:52"/>
    <n v="2016"/>
    <s v="Jan"/>
  </r>
  <r>
    <s v="EMP1054"/>
    <s v="EMP"/>
    <n v="1054"/>
    <s v="Bob Johnson"/>
    <x v="4"/>
    <x v="3"/>
    <n v="75633"/>
    <d v="2016-01-17T00:00:00"/>
    <n v="5"/>
    <s v="Other"/>
    <s v="user92@example.com"/>
    <x v="53"/>
    <d v="2016-01-17T00:00:00"/>
    <n v="5"/>
    <n v="5"/>
    <x v="1"/>
    <d v="2025-11-29T00:00:00"/>
    <d v="2025-11-29T13:09:52"/>
    <n v="2016"/>
    <s v="Jan"/>
  </r>
  <r>
    <s v="EMP1055"/>
    <s v="EMP"/>
    <n v="1055"/>
    <s v="Chris Lee"/>
    <x v="4"/>
    <x v="2"/>
    <n v="74815"/>
    <d v="2016-01-24T00:00:00"/>
    <n v="5"/>
    <s v="Female"/>
    <s v="user50@example.com"/>
    <x v="54"/>
    <d v="2016-01-24T00:00:00"/>
    <n v="5"/>
    <n v="5"/>
    <x v="3"/>
    <d v="2025-11-29T00:00:00"/>
    <d v="2025-11-29T13:09:52"/>
    <n v="2016"/>
    <s v="Jan"/>
  </r>
  <r>
    <s v="EMP1056"/>
    <s v="EMP"/>
    <n v="1056"/>
    <s v="John Doe"/>
    <x v="2"/>
    <x v="4"/>
    <n v="60011"/>
    <d v="2016-01-31T00:00:00"/>
    <n v="1"/>
    <s v="Male"/>
    <s v="user63@example.com"/>
    <x v="55"/>
    <d v="2016-01-31T00:00:00"/>
    <n v="1"/>
    <n v="1"/>
    <x v="2"/>
    <d v="2025-11-29T00:00:00"/>
    <d v="2025-11-29T13:09:52"/>
    <n v="2016"/>
    <s v="Jan"/>
  </r>
  <r>
    <s v="EMP1057"/>
    <s v="EMP"/>
    <n v="1057"/>
    <s v="Eve Adams"/>
    <x v="4"/>
    <x v="0"/>
    <n v="96949"/>
    <d v="2016-02-07T00:00:00"/>
    <n v="3"/>
    <m/>
    <s v="user103@example.com"/>
    <x v="56"/>
    <d v="2016-02-07T00:00:00"/>
    <n v="3"/>
    <n v="3"/>
    <x v="2"/>
    <d v="2025-11-29T00:00:00"/>
    <d v="2025-11-29T13:09:52"/>
    <n v="2016"/>
    <s v="Feb"/>
  </r>
  <r>
    <s v="EMP1058"/>
    <s v="EMP"/>
    <n v="1058"/>
    <s v="Sam Wilson"/>
    <x v="4"/>
    <x v="0"/>
    <n v="84924"/>
    <d v="2016-02-14T00:00:00"/>
    <n v="5"/>
    <s v="Male"/>
    <s v="user150@example.com"/>
    <x v="57"/>
    <d v="2016-02-14T00:00:00"/>
    <n v="5"/>
    <n v="5"/>
    <x v="2"/>
    <d v="2025-11-29T00:00:00"/>
    <d v="2025-11-29T13:09:52"/>
    <n v="2016"/>
    <s v="Feb"/>
  </r>
  <r>
    <s v="EMP1059"/>
    <s v="EMP"/>
    <n v="1059"/>
    <s v="Sam Wilson"/>
    <x v="0"/>
    <x v="2"/>
    <n v="82033"/>
    <d v="2016-02-21T00:00:00"/>
    <n v="1"/>
    <m/>
    <s v="user20@example.com"/>
    <x v="58"/>
    <d v="2016-02-21T00:00:00"/>
    <n v="1"/>
    <n v="1"/>
    <x v="2"/>
    <d v="2025-11-29T00:00:00"/>
    <d v="2025-11-29T13:09:52"/>
    <n v="2016"/>
    <s v="Feb"/>
  </r>
  <r>
    <s v="EMP1060"/>
    <s v="EMP"/>
    <n v="1060"/>
    <s v="Unknown"/>
    <x v="4"/>
    <x v="1"/>
    <s v="N/A"/>
    <m/>
    <n v="5"/>
    <s v="Unknown"/>
    <s v="user112@example.com"/>
    <x v="59"/>
    <d v="2016-08-08T00:00:00"/>
    <n v="5"/>
    <n v="5"/>
    <x v="0"/>
    <d v="2025-11-29T00:00:00"/>
    <d v="2025-11-29T13:09:52"/>
    <n v="2016"/>
    <s v="Aug"/>
  </r>
  <r>
    <s v="EMP1061"/>
    <s v="EMP"/>
    <n v="1061"/>
    <s v="Eve Adams"/>
    <x v="4"/>
    <x v="4"/>
    <n v="31499"/>
    <d v="2016-03-06T00:00:00"/>
    <n v="2"/>
    <m/>
    <s v="user31@example.com"/>
    <x v="60"/>
    <d v="2016-03-06T00:00:00"/>
    <n v="2"/>
    <n v="2"/>
    <x v="2"/>
    <d v="2025-11-29T00:00:00"/>
    <d v="2025-11-29T13:09:52"/>
    <n v="2016"/>
    <s v="Mar"/>
  </r>
  <r>
    <s v="EMP1062"/>
    <s v="EMP"/>
    <n v="1062"/>
    <s v="Chris Lee"/>
    <x v="3"/>
    <x v="3"/>
    <n v="97981"/>
    <d v="2016-03-13T00:00:00"/>
    <n v="5"/>
    <s v="Female"/>
    <s v="user71@example.com"/>
    <x v="61"/>
    <d v="2016-03-13T00:00:00"/>
    <n v="5"/>
    <n v="5"/>
    <x v="3"/>
    <d v="2025-11-29T00:00:00"/>
    <d v="2025-11-29T13:09:52"/>
    <n v="2016"/>
    <s v="Mar"/>
  </r>
  <r>
    <s v="EMP1063"/>
    <s v="EMP"/>
    <n v="1063"/>
    <s v="Eve Adams"/>
    <x v="1"/>
    <x v="2"/>
    <n v="36541"/>
    <d v="2016-03-20T00:00:00"/>
    <n v="2"/>
    <s v="Other"/>
    <s v="user97@example.com"/>
    <x v="62"/>
    <d v="2016-03-20T00:00:00"/>
    <n v="2"/>
    <n v="2"/>
    <x v="1"/>
    <d v="2025-11-29T00:00:00"/>
    <d v="2025-11-29T13:09:52"/>
    <n v="2016"/>
    <s v="Mar"/>
  </r>
  <r>
    <s v="EMP1064"/>
    <s v="EMP"/>
    <n v="1064"/>
    <s v="John Doe"/>
    <x v="3"/>
    <x v="0"/>
    <n v="84737"/>
    <d v="2016-03-27T00:00:00"/>
    <n v="1"/>
    <s v="Male"/>
    <s v="user141@example.com"/>
    <x v="63"/>
    <d v="2016-03-27T00:00:00"/>
    <n v="1"/>
    <n v="1"/>
    <x v="2"/>
    <d v="2025-11-29T00:00:00"/>
    <d v="2025-11-29T13:09:52"/>
    <n v="2016"/>
    <s v="Mar"/>
  </r>
  <r>
    <s v="EMP1065"/>
    <s v="EMP"/>
    <n v="1065"/>
    <s v="Sam Wilson"/>
    <x v="0"/>
    <x v="0"/>
    <n v="33468"/>
    <d v="2016-04-03T00:00:00"/>
    <n v="4"/>
    <s v="Male"/>
    <s v="user125@example.com"/>
    <x v="64"/>
    <d v="2016-04-03T00:00:00"/>
    <n v="4"/>
    <n v="4"/>
    <x v="2"/>
    <d v="2025-11-29T00:00:00"/>
    <d v="2025-11-29T13:09:52"/>
    <n v="2016"/>
    <s v="Apr"/>
  </r>
  <r>
    <s v="EMP1066"/>
    <s v="EMP"/>
    <n v="1066"/>
    <s v="Sam Wilson"/>
    <x v="4"/>
    <x v="4"/>
    <n v="96365"/>
    <d v="2016-04-10T00:00:00"/>
    <n v="3"/>
    <s v="Other"/>
    <s v="user90@example.com"/>
    <x v="65"/>
    <d v="2016-04-10T00:00:00"/>
    <n v="3"/>
    <n v="3"/>
    <x v="1"/>
    <d v="2025-11-29T00:00:00"/>
    <d v="2025-11-29T13:09:52"/>
    <n v="2016"/>
    <s v="Apr"/>
  </r>
  <r>
    <s v="EMP1067"/>
    <s v="EMP"/>
    <n v="1067"/>
    <s v="Alice Brown"/>
    <x v="2"/>
    <x v="0"/>
    <n v="61942"/>
    <d v="2016-04-17T00:00:00"/>
    <n v="3"/>
    <s v="Female"/>
    <s v="user192@example.com"/>
    <x v="66"/>
    <d v="2016-04-17T00:00:00"/>
    <n v="3"/>
    <n v="3"/>
    <x v="3"/>
    <d v="2025-11-29T00:00:00"/>
    <d v="2025-11-29T13:09:52"/>
    <n v="2016"/>
    <s v="Apr"/>
  </r>
  <r>
    <s v="EMP1068"/>
    <s v="EMP"/>
    <n v="1068"/>
    <s v="Sam Wilson"/>
    <x v="0"/>
    <x v="3"/>
    <n v="41467"/>
    <d v="2016-04-24T00:00:00"/>
    <n v="2"/>
    <m/>
    <s v="user77@example.com"/>
    <x v="67"/>
    <d v="2016-04-24T00:00:00"/>
    <n v="2"/>
    <n v="2"/>
    <x v="2"/>
    <d v="2025-11-29T00:00:00"/>
    <d v="2025-11-29T13:09:52"/>
    <n v="2016"/>
    <s v="Apr"/>
  </r>
  <r>
    <s v="EMP1069"/>
    <s v="EMP"/>
    <n v="1069"/>
    <s v="Bob Johnson"/>
    <x v="0"/>
    <x v="0"/>
    <n v="77096"/>
    <d v="2016-05-01T00:00:00"/>
    <n v="1"/>
    <m/>
    <s v="user65@example.com"/>
    <x v="68"/>
    <d v="2016-05-01T00:00:00"/>
    <n v="1"/>
    <n v="1"/>
    <x v="2"/>
    <d v="2025-11-29T00:00:00"/>
    <d v="2025-11-29T13:09:52"/>
    <n v="2016"/>
    <s v="May"/>
  </r>
  <r>
    <s v="EMP1070"/>
    <s v="EMP"/>
    <n v="1070"/>
    <s v="Eve Adams"/>
    <x v="2"/>
    <x v="4"/>
    <n v="69952"/>
    <d v="2016-05-08T00:00:00"/>
    <n v="5"/>
    <s v="Female"/>
    <s v="invalid_email"/>
    <x v="69"/>
    <d v="2016-05-08T00:00:00"/>
    <n v="5"/>
    <n v="5"/>
    <x v="3"/>
    <d v="2025-11-29T00:00:00"/>
    <d v="2025-11-29T13:09:52"/>
    <n v="2016"/>
    <s v="May"/>
  </r>
  <r>
    <s v="EMP1071"/>
    <s v="EMP"/>
    <n v="1071"/>
    <s v="Eve Adams"/>
    <x v="4"/>
    <x v="2"/>
    <n v="85065"/>
    <d v="2016-05-15T00:00:00"/>
    <n v="3"/>
    <m/>
    <s v="user142@example.com"/>
    <x v="70"/>
    <d v="2016-05-15T00:00:00"/>
    <n v="3"/>
    <n v="3"/>
    <x v="2"/>
    <d v="2025-11-29T00:00:00"/>
    <d v="2025-11-29T13:09:52"/>
    <n v="2016"/>
    <s v="May"/>
  </r>
  <r>
    <s v="EMP1072"/>
    <s v="EMP"/>
    <n v="1072"/>
    <s v="Bob Johnson"/>
    <x v="4"/>
    <x v="0"/>
    <n v="56512"/>
    <d v="2016-05-22T00:00:00"/>
    <m/>
    <s v="Other"/>
    <s v="user153@example.com"/>
    <x v="71"/>
    <d v="2016-05-22T00:00:00"/>
    <n v="3.1086956521739131"/>
    <n v="3"/>
    <x v="1"/>
    <d v="2025-11-29T00:00:00"/>
    <d v="2025-11-29T13:09:52"/>
    <n v="2016"/>
    <s v="May"/>
  </r>
  <r>
    <s v="EMP1073"/>
    <s v="EMP"/>
    <n v="1073"/>
    <s v="John Doe"/>
    <x v="2"/>
    <x v="0"/>
    <n v="91101"/>
    <d v="2016-05-29T00:00:00"/>
    <n v="4"/>
    <s v="Female"/>
    <s v="user71@example.com"/>
    <x v="72"/>
    <d v="2016-05-29T00:00:00"/>
    <n v="4"/>
    <n v="4"/>
    <x v="3"/>
    <d v="2025-11-29T00:00:00"/>
    <d v="2025-11-29T13:09:52"/>
    <n v="2016"/>
    <s v="May"/>
  </r>
  <r>
    <s v="EMP1074"/>
    <s v="EMP"/>
    <n v="1074"/>
    <s v="Sam Wilson"/>
    <x v="4"/>
    <x v="1"/>
    <n v="41243"/>
    <d v="2016-06-05T00:00:00"/>
    <m/>
    <m/>
    <s v="user143@example.com"/>
    <x v="73"/>
    <d v="2016-06-05T00:00:00"/>
    <n v="3.1086956521739131"/>
    <n v="3"/>
    <x v="2"/>
    <d v="2025-11-29T00:00:00"/>
    <d v="2025-11-29T13:09:52"/>
    <n v="2016"/>
    <s v="Jun"/>
  </r>
  <r>
    <s v="EMP1075"/>
    <s v="EMP"/>
    <n v="1075"/>
    <s v="Unknown"/>
    <x v="2"/>
    <x v="0"/>
    <n v="96142"/>
    <d v="2016-06-12T00:00:00"/>
    <n v="1"/>
    <s v="Other"/>
    <s v="user17@example.com"/>
    <x v="74"/>
    <d v="2016-06-12T00:00:00"/>
    <n v="1"/>
    <n v="1"/>
    <x v="1"/>
    <d v="2025-11-29T00:00:00"/>
    <d v="2025-11-29T13:09:52"/>
    <n v="2016"/>
    <s v="Jun"/>
  </r>
  <r>
    <s v="EMP1076"/>
    <s v="EMP"/>
    <n v="1076"/>
    <s v="Eve Adams"/>
    <x v="3"/>
    <x v="0"/>
    <n v="94301"/>
    <d v="2016-06-19T00:00:00"/>
    <n v="1"/>
    <s v="Male"/>
    <s v="user20@example.com"/>
    <x v="75"/>
    <d v="2016-06-19T00:00:00"/>
    <n v="1"/>
    <n v="1"/>
    <x v="2"/>
    <d v="2025-11-29T00:00:00"/>
    <d v="2025-11-29T13:09:52"/>
    <n v="2016"/>
    <s v="Jun"/>
  </r>
  <r>
    <s v="EMP1077"/>
    <s v="EMP"/>
    <n v="1077"/>
    <s v="Jane Smith"/>
    <x v="4"/>
    <x v="3"/>
    <n v="69166"/>
    <d v="2016-06-26T00:00:00"/>
    <n v="1"/>
    <s v="Female"/>
    <s v="user22@example.com"/>
    <x v="76"/>
    <d v="2016-06-26T00:00:00"/>
    <n v="1"/>
    <n v="1"/>
    <x v="3"/>
    <d v="2025-11-29T00:00:00"/>
    <d v="2025-11-29T13:09:52"/>
    <n v="2016"/>
    <s v="Jun"/>
  </r>
  <r>
    <s v="EMP1078"/>
    <s v="EMP"/>
    <n v="1078"/>
    <s v="Sam Wilson"/>
    <x v="4"/>
    <x v="3"/>
    <n v="78245"/>
    <d v="2016-07-03T00:00:00"/>
    <n v="2"/>
    <m/>
    <s v="user46@example.com"/>
    <x v="77"/>
    <d v="2016-07-03T00:00:00"/>
    <n v="2"/>
    <n v="2"/>
    <x v="2"/>
    <d v="2025-11-29T00:00:00"/>
    <d v="2025-11-29T13:09:52"/>
    <n v="2016"/>
    <s v="Jul"/>
  </r>
  <r>
    <s v="EMP1079"/>
    <s v="EMP"/>
    <n v="1079"/>
    <s v="Chris Lee"/>
    <x v="2"/>
    <x v="2"/>
    <n v="66079"/>
    <d v="2016-07-10T00:00:00"/>
    <n v="2"/>
    <s v="Other"/>
    <s v="user55@example.com"/>
    <x v="78"/>
    <d v="2016-07-10T00:00:00"/>
    <n v="2"/>
    <n v="2"/>
    <x v="1"/>
    <d v="2025-11-29T00:00:00"/>
    <d v="2025-11-29T13:09:52"/>
    <n v="2016"/>
    <s v="Jul"/>
  </r>
  <r>
    <s v="EMP1080"/>
    <s v="EMP"/>
    <n v="1080"/>
    <s v="Eve Adams"/>
    <x v="4"/>
    <x v="0"/>
    <s v="N/A"/>
    <m/>
    <m/>
    <m/>
    <s v="user135@example.com"/>
    <x v="59"/>
    <d v="2016-08-08T00:00:00"/>
    <n v="3.1086956521739131"/>
    <n v="3"/>
    <x v="2"/>
    <d v="2025-11-29T00:00:00"/>
    <d v="2025-11-29T13:09:52"/>
    <n v="2016"/>
    <s v="Aug"/>
  </r>
  <r>
    <s v="EMP1081"/>
    <s v="EMP"/>
    <n v="1081"/>
    <s v="Jane Smith"/>
    <x v="2"/>
    <x v="2"/>
    <n v="95621"/>
    <d v="2016-07-24T00:00:00"/>
    <n v="3"/>
    <s v="Female"/>
    <s v="user156@example.com"/>
    <x v="79"/>
    <d v="2016-07-24T00:00:00"/>
    <n v="3"/>
    <n v="3"/>
    <x v="3"/>
    <d v="2025-11-29T00:00:00"/>
    <d v="2025-11-29T13:09:52"/>
    <n v="2016"/>
    <s v="Jul"/>
  </r>
  <r>
    <s v="EMP1082"/>
    <s v="EMP"/>
    <n v="1082"/>
    <s v="Eve Adams"/>
    <x v="3"/>
    <x v="3"/>
    <n v="42262"/>
    <d v="2016-07-31T00:00:00"/>
    <n v="1"/>
    <m/>
    <s v="user104@example.com"/>
    <x v="80"/>
    <d v="2016-07-31T00:00:00"/>
    <n v="1"/>
    <n v="1"/>
    <x v="2"/>
    <d v="2025-11-29T00:00:00"/>
    <d v="2025-11-29T13:09:52"/>
    <n v="2016"/>
    <s v="Jul"/>
  </r>
  <r>
    <s v="EMP1083"/>
    <s v="EMP"/>
    <n v="1083"/>
    <s v="Sam Wilson"/>
    <x v="2"/>
    <x v="0"/>
    <n v="99621"/>
    <d v="2016-08-07T00:00:00"/>
    <m/>
    <s v="Other"/>
    <s v="user145@example.com"/>
    <x v="81"/>
    <d v="2016-08-07T00:00:00"/>
    <n v="2.7272727272727271"/>
    <n v="3"/>
    <x v="1"/>
    <d v="2025-11-29T00:00:00"/>
    <d v="2025-11-29T13:09:52"/>
    <n v="2016"/>
    <s v="Aug"/>
  </r>
  <r>
    <s v="EMP1084"/>
    <s v="EMP"/>
    <n v="1084"/>
    <s v="John Doe"/>
    <x v="4"/>
    <x v="0"/>
    <n v="44682"/>
    <d v="2016-08-14T00:00:00"/>
    <n v="4"/>
    <s v="Female"/>
    <s v="user47@example.com"/>
    <x v="82"/>
    <d v="2016-08-14T00:00:00"/>
    <n v="4"/>
    <n v="4"/>
    <x v="3"/>
    <d v="2025-11-29T00:00:00"/>
    <d v="2025-11-29T13:09:52"/>
    <n v="2016"/>
    <s v="Aug"/>
  </r>
  <r>
    <s v="EMP1085"/>
    <s v="EMP"/>
    <n v="1085"/>
    <s v="Chris Lee"/>
    <x v="0"/>
    <x v="0"/>
    <n v="35163"/>
    <d v="2016-08-21T00:00:00"/>
    <n v="5"/>
    <s v="Other"/>
    <s v="user197@example.com"/>
    <x v="83"/>
    <d v="2016-08-21T00:00:00"/>
    <n v="5"/>
    <n v="5"/>
    <x v="1"/>
    <d v="2025-11-29T00:00:00"/>
    <d v="2025-11-29T13:09:52"/>
    <n v="2016"/>
    <s v="Aug"/>
  </r>
  <r>
    <s v="EMP1086"/>
    <s v="EMP"/>
    <n v="1086"/>
    <s v="Chris Lee"/>
    <x v="3"/>
    <x v="0"/>
    <n v="33483"/>
    <d v="2016-08-28T00:00:00"/>
    <n v="4"/>
    <s v="Male"/>
    <s v="user177@example.com"/>
    <x v="84"/>
    <d v="2016-08-28T00:00:00"/>
    <n v="4"/>
    <n v="4"/>
    <x v="2"/>
    <d v="2025-11-29T00:00:00"/>
    <d v="2025-11-29T13:09:52"/>
    <n v="2016"/>
    <s v="Aug"/>
  </r>
  <r>
    <s v="EMP1087"/>
    <s v="EMP"/>
    <n v="1087"/>
    <s v="Sam Wilson"/>
    <x v="1"/>
    <x v="1"/>
    <n v="55303"/>
    <d v="2016-09-04T00:00:00"/>
    <n v="4"/>
    <s v="Male"/>
    <s v="user149@example.com"/>
    <x v="85"/>
    <d v="2016-09-04T00:00:00"/>
    <n v="4"/>
    <n v="4"/>
    <x v="2"/>
    <d v="2025-11-29T00:00:00"/>
    <d v="2025-11-29T13:09:52"/>
    <n v="2016"/>
    <s v="Sep"/>
  </r>
  <r>
    <s v="EMP1088"/>
    <s v="EMP"/>
    <n v="1088"/>
    <s v="Chris Lee"/>
    <x v="3"/>
    <x v="0"/>
    <n v="63434"/>
    <d v="2016-09-11T00:00:00"/>
    <n v="3"/>
    <m/>
    <s v="user48@example.com"/>
    <x v="86"/>
    <d v="2016-09-11T00:00:00"/>
    <n v="3"/>
    <n v="3"/>
    <x v="2"/>
    <d v="2025-11-29T00:00:00"/>
    <d v="2025-11-29T13:09:52"/>
    <n v="2016"/>
    <s v="Sep"/>
  </r>
  <r>
    <s v="EMP1089"/>
    <s v="EMP"/>
    <n v="1089"/>
    <s v="Jane Smith"/>
    <x v="4"/>
    <x v="4"/>
    <n v="38830"/>
    <d v="2016-09-18T00:00:00"/>
    <n v="3"/>
    <s v="Other"/>
    <s v="user149@example.com"/>
    <x v="87"/>
    <d v="2016-09-18T00:00:00"/>
    <n v="3"/>
    <n v="3"/>
    <x v="1"/>
    <d v="2025-11-29T00:00:00"/>
    <d v="2025-11-29T13:09:52"/>
    <n v="2016"/>
    <s v="Sep"/>
  </r>
  <r>
    <s v="EMP1090"/>
    <s v="EMP"/>
    <n v="1090"/>
    <s v="Unknown"/>
    <x v="4"/>
    <x v="3"/>
    <n v="50741"/>
    <d v="2016-09-25T00:00:00"/>
    <n v="3"/>
    <s v="Unknown"/>
    <s v="user65@example.com"/>
    <x v="88"/>
    <d v="2016-09-25T00:00:00"/>
    <n v="3"/>
    <n v="3"/>
    <x v="0"/>
    <d v="2025-11-29T00:00:00"/>
    <d v="2025-11-29T13:09:52"/>
    <n v="2016"/>
    <s v="Sep"/>
  </r>
  <r>
    <s v="EMP1091"/>
    <s v="EMP"/>
    <n v="1091"/>
    <s v="Alice Brown"/>
    <x v="1"/>
    <x v="4"/>
    <n v="69420"/>
    <d v="2016-10-02T00:00:00"/>
    <n v="1"/>
    <s v="Male"/>
    <s v="user43@example.com"/>
    <x v="89"/>
    <d v="2016-10-02T00:00:00"/>
    <n v="1"/>
    <n v="1"/>
    <x v="2"/>
    <d v="2025-11-29T00:00:00"/>
    <d v="2025-11-29T13:09:52"/>
    <n v="2016"/>
    <s v="Oct"/>
  </r>
  <r>
    <s v="EMP1092"/>
    <s v="EMP"/>
    <n v="1092"/>
    <s v="Jane Smith"/>
    <x v="3"/>
    <x v="0"/>
    <n v="80588"/>
    <d v="2016-10-09T00:00:00"/>
    <n v="5"/>
    <s v="Male"/>
    <s v="user98@example.com"/>
    <x v="90"/>
    <d v="2016-10-09T00:00:00"/>
    <n v="5"/>
    <n v="5"/>
    <x v="2"/>
    <d v="2025-11-29T00:00:00"/>
    <d v="2025-11-29T13:09:52"/>
    <n v="2016"/>
    <s v="Oct"/>
  </r>
  <r>
    <s v="EMP1093"/>
    <s v="EMP"/>
    <n v="1093"/>
    <s v="Alice Brown"/>
    <x v="4"/>
    <x v="2"/>
    <n v="76238"/>
    <d v="2016-10-16T00:00:00"/>
    <n v="4"/>
    <s v="Male"/>
    <s v="user102@example.com"/>
    <x v="91"/>
    <d v="2016-10-16T00:00:00"/>
    <n v="4"/>
    <n v="4"/>
    <x v="2"/>
    <d v="2025-11-29T00:00:00"/>
    <d v="2025-11-29T13:09:52"/>
    <n v="2016"/>
    <s v="Oct"/>
  </r>
  <r>
    <s v="EMP1094"/>
    <s v="EMP"/>
    <n v="1094"/>
    <s v="Bob Johnson"/>
    <x v="3"/>
    <x v="0"/>
    <n v="33264"/>
    <d v="2016-10-23T00:00:00"/>
    <m/>
    <s v="Female"/>
    <s v="user148@example.com"/>
    <x v="92"/>
    <d v="2016-10-23T00:00:00"/>
    <n v="2.9444444444444446"/>
    <n v="3"/>
    <x v="3"/>
    <d v="2025-11-29T00:00:00"/>
    <d v="2025-11-29T13:09:52"/>
    <n v="2016"/>
    <s v="Oct"/>
  </r>
  <r>
    <s v="EMP1095"/>
    <s v="EMP"/>
    <n v="1095"/>
    <s v="Alice Brown"/>
    <x v="0"/>
    <x v="4"/>
    <n v="96101"/>
    <d v="2016-10-30T00:00:00"/>
    <m/>
    <s v="Other"/>
    <s v="user155@example.com"/>
    <x v="93"/>
    <d v="2016-10-30T00:00:00"/>
    <n v="2.5789473684210527"/>
    <n v="3"/>
    <x v="1"/>
    <d v="2025-11-29T00:00:00"/>
    <d v="2025-11-29T13:09:52"/>
    <n v="2016"/>
    <s v="Oct"/>
  </r>
  <r>
    <s v="EMP1096"/>
    <s v="EMP"/>
    <n v="1096"/>
    <s v="Jane Smith"/>
    <x v="0"/>
    <x v="2"/>
    <n v="72939"/>
    <d v="2016-11-06T00:00:00"/>
    <n v="3"/>
    <m/>
    <s v="user191@example.com"/>
    <x v="94"/>
    <d v="2016-11-06T00:00:00"/>
    <n v="3"/>
    <n v="3"/>
    <x v="2"/>
    <d v="2025-11-29T00:00:00"/>
    <d v="2025-11-29T13:09:52"/>
    <n v="2016"/>
    <s v="Nov"/>
  </r>
  <r>
    <s v="EMP1097"/>
    <s v="EMP"/>
    <n v="1097"/>
    <s v="Sam Wilson"/>
    <x v="1"/>
    <x v="1"/>
    <n v="89333"/>
    <d v="2016-11-13T00:00:00"/>
    <n v="1"/>
    <s v="Male"/>
    <s v="user113@example.com"/>
    <x v="95"/>
    <d v="2016-11-13T00:00:00"/>
    <n v="1"/>
    <n v="1"/>
    <x v="2"/>
    <d v="2025-11-29T00:00:00"/>
    <d v="2025-11-29T13:09:52"/>
    <n v="2016"/>
    <s v="Nov"/>
  </r>
  <r>
    <s v="EMP1098"/>
    <s v="EMP"/>
    <n v="1098"/>
    <s v="Bob Johnson"/>
    <x v="3"/>
    <x v="4"/>
    <n v="70470"/>
    <d v="2016-11-20T00:00:00"/>
    <m/>
    <s v="Male"/>
    <s v="user62@example.com"/>
    <x v="96"/>
    <d v="2016-11-20T00:00:00"/>
    <n v="2.9444444444444446"/>
    <n v="3"/>
    <x v="2"/>
    <d v="2025-11-29T00:00:00"/>
    <d v="2025-11-29T13:09:52"/>
    <n v="2016"/>
    <s v="Nov"/>
  </r>
  <r>
    <s v="EMP1099"/>
    <s v="EMP"/>
    <n v="1099"/>
    <s v="Eve Adams"/>
    <x v="4"/>
    <x v="2"/>
    <n v="70096"/>
    <d v="2016-11-27T00:00:00"/>
    <n v="4"/>
    <s v="Male"/>
    <s v="user76@example.com"/>
    <x v="97"/>
    <d v="2016-11-27T00:00:00"/>
    <n v="4"/>
    <n v="4"/>
    <x v="2"/>
    <d v="2025-11-29T00:00:00"/>
    <d v="2025-11-29T13:09:52"/>
    <n v="2016"/>
    <s v="Nov"/>
  </r>
  <r>
    <s v="EMP1100"/>
    <s v="EMP"/>
    <n v="1100"/>
    <s v="Bob Johnson"/>
    <x v="4"/>
    <x v="0"/>
    <s v="N/A"/>
    <d v="2016-12-04T00:00:00"/>
    <n v="2"/>
    <s v="Other"/>
    <s v="user40@example.com"/>
    <x v="59"/>
    <d v="2016-12-04T00:00:00"/>
    <n v="2"/>
    <n v="2"/>
    <x v="1"/>
    <d v="2025-11-29T00:00:00"/>
    <d v="2025-11-29T13:09:52"/>
    <n v="2016"/>
    <s v="Dec"/>
  </r>
  <r>
    <s v="EMP1101"/>
    <s v="EMP"/>
    <n v="1101"/>
    <s v="Bob Johnson"/>
    <x v="3"/>
    <x v="1"/>
    <n v="66503"/>
    <d v="2016-12-11T00:00:00"/>
    <m/>
    <s v="Male"/>
    <s v="user200@example.com"/>
    <x v="98"/>
    <d v="2016-12-11T00:00:00"/>
    <n v="2.9444444444444446"/>
    <n v="3"/>
    <x v="2"/>
    <d v="2025-11-29T00:00:00"/>
    <d v="2025-11-29T13:09:52"/>
    <n v="2016"/>
    <s v="Dec"/>
  </r>
  <r>
    <s v="EMP1102"/>
    <s v="EMP"/>
    <n v="1102"/>
    <s v="Alice Brown"/>
    <x v="1"/>
    <x v="1"/>
    <n v="42096"/>
    <d v="2016-12-18T00:00:00"/>
    <m/>
    <s v="Female"/>
    <s v="user54@example.com"/>
    <x v="99"/>
    <d v="2016-12-18T00:00:00"/>
    <n v="2.7"/>
    <n v="3"/>
    <x v="3"/>
    <d v="2025-11-29T00:00:00"/>
    <d v="2025-11-29T13:09:52"/>
    <n v="2016"/>
    <s v="Dec"/>
  </r>
  <r>
    <s v="EMP1103"/>
    <s v="EMP"/>
    <n v="1103"/>
    <s v="Alice Brown"/>
    <x v="4"/>
    <x v="0"/>
    <n v="79145"/>
    <d v="2016-12-25T00:00:00"/>
    <n v="5"/>
    <s v="Other"/>
    <s v="user20@example.com"/>
    <x v="100"/>
    <d v="2016-12-25T00:00:00"/>
    <n v="5"/>
    <n v="5"/>
    <x v="1"/>
    <d v="2025-11-29T00:00:00"/>
    <d v="2025-11-29T13:09:52"/>
    <n v="2016"/>
    <s v="Dec"/>
  </r>
  <r>
    <s v="EMP1104"/>
    <s v="EMP"/>
    <n v="1104"/>
    <s v="Jane Smith"/>
    <x v="4"/>
    <x v="4"/>
    <n v="61556"/>
    <d v="2017-01-01T00:00:00"/>
    <n v="1"/>
    <m/>
    <s v="user40@example.com"/>
    <x v="101"/>
    <d v="2017-01-01T00:00:00"/>
    <n v="1"/>
    <n v="1"/>
    <x v="2"/>
    <d v="2025-11-29T00:00:00"/>
    <d v="2025-11-29T13:09:52"/>
    <n v="2017"/>
    <s v="Jan"/>
  </r>
  <r>
    <s v="EMP1105"/>
    <s v="EMP"/>
    <n v="1105"/>
    <s v="Unknown"/>
    <x v="1"/>
    <x v="3"/>
    <n v="87963"/>
    <d v="2017-01-08T00:00:00"/>
    <n v="3"/>
    <s v="Other"/>
    <s v="invalid_email"/>
    <x v="102"/>
    <d v="2017-01-08T00:00:00"/>
    <n v="3"/>
    <n v="3"/>
    <x v="1"/>
    <d v="2025-11-29T00:00:00"/>
    <d v="2025-11-29T13:09:52"/>
    <n v="2017"/>
    <s v="Jan"/>
  </r>
  <r>
    <s v="EMP1106"/>
    <s v="EMP"/>
    <n v="1106"/>
    <s v="Eve Adams"/>
    <x v="3"/>
    <x v="0"/>
    <n v="48325"/>
    <d v="2017-01-15T00:00:00"/>
    <m/>
    <s v="Male"/>
    <s v="user189@example.com"/>
    <x v="103"/>
    <d v="2017-01-15T00:00:00"/>
    <n v="2.9444444444444446"/>
    <n v="3"/>
    <x v="2"/>
    <d v="2025-11-29T00:00:00"/>
    <d v="2025-11-29T13:09:52"/>
    <n v="2017"/>
    <s v="Jan"/>
  </r>
  <r>
    <s v="EMP1107"/>
    <s v="EMP"/>
    <n v="1107"/>
    <s v="Sam Wilson"/>
    <x v="4"/>
    <x v="4"/>
    <n v="86412"/>
    <d v="2017-01-22T00:00:00"/>
    <n v="2"/>
    <s v="Female"/>
    <s v="user128@example.com"/>
    <x v="104"/>
    <d v="2017-01-22T00:00:00"/>
    <n v="2"/>
    <n v="2"/>
    <x v="3"/>
    <d v="2025-11-29T00:00:00"/>
    <d v="2025-11-29T13:09:52"/>
    <n v="2017"/>
    <s v="Jan"/>
  </r>
  <r>
    <s v="EMP1108"/>
    <s v="EMP"/>
    <n v="1108"/>
    <s v="Sam Wilson"/>
    <x v="1"/>
    <x v="0"/>
    <n v="66761"/>
    <d v="2017-01-29T00:00:00"/>
    <n v="1"/>
    <m/>
    <s v="user93@example.com"/>
    <x v="105"/>
    <d v="2017-01-29T00:00:00"/>
    <n v="1"/>
    <n v="1"/>
    <x v="2"/>
    <d v="2025-11-29T00:00:00"/>
    <d v="2025-11-29T13:09:52"/>
    <n v="2017"/>
    <s v="Jan"/>
  </r>
  <r>
    <s v="EMP1109"/>
    <s v="EMP"/>
    <n v="1109"/>
    <s v="Jane Smith"/>
    <x v="4"/>
    <x v="0"/>
    <n v="88850"/>
    <d v="2017-02-05T00:00:00"/>
    <n v="1"/>
    <s v="Female"/>
    <s v="user174@example.com"/>
    <x v="106"/>
    <d v="2017-02-05T00:00:00"/>
    <n v="1"/>
    <n v="1"/>
    <x v="3"/>
    <d v="2025-11-29T00:00:00"/>
    <d v="2025-11-29T13:09:52"/>
    <n v="2017"/>
    <s v="Feb"/>
  </r>
  <r>
    <s v="EMP1110"/>
    <s v="EMP"/>
    <n v="1110"/>
    <s v="Chris Lee"/>
    <x v="2"/>
    <x v="0"/>
    <n v="31293"/>
    <m/>
    <n v="2"/>
    <s v="Female"/>
    <s v="user44@example.com"/>
    <x v="107"/>
    <d v="2016-07-12T01:00:00"/>
    <n v="2"/>
    <n v="2"/>
    <x v="3"/>
    <d v="2025-11-29T00:00:00"/>
    <d v="2025-11-29T13:09:52"/>
    <n v="2016"/>
    <s v="Jul"/>
  </r>
  <r>
    <s v="EMP1111"/>
    <s v="EMP"/>
    <n v="1111"/>
    <s v="Chris Lee"/>
    <x v="3"/>
    <x v="2"/>
    <n v="34306"/>
    <d v="2017-02-19T00:00:00"/>
    <n v="5"/>
    <s v="Female"/>
    <s v="user192@example.com"/>
    <x v="108"/>
    <d v="2017-02-19T00:00:00"/>
    <n v="5"/>
    <n v="5"/>
    <x v="3"/>
    <d v="2025-11-29T00:00:00"/>
    <d v="2025-11-29T13:09:52"/>
    <n v="2017"/>
    <s v="Feb"/>
  </r>
  <r>
    <s v="EMP1112"/>
    <s v="EMP"/>
    <n v="1112"/>
    <s v="Eve Adams"/>
    <x v="0"/>
    <x v="0"/>
    <n v="78330"/>
    <d v="2017-02-26T00:00:00"/>
    <m/>
    <s v="Other"/>
    <s v="user76@example.com"/>
    <x v="109"/>
    <d v="2017-02-26T00:00:00"/>
    <n v="2.5789473684210527"/>
    <n v="3"/>
    <x v="1"/>
    <d v="2025-11-29T00:00:00"/>
    <d v="2025-11-29T13:09:52"/>
    <n v="2017"/>
    <s v="Feb"/>
  </r>
  <r>
    <s v="EMP1113"/>
    <s v="EMP"/>
    <n v="1113"/>
    <s v="Alice Brown"/>
    <x v="3"/>
    <x v="2"/>
    <n v="47653"/>
    <d v="2017-03-05T00:00:00"/>
    <n v="1"/>
    <s v="Male"/>
    <s v="user82@example.com"/>
    <x v="110"/>
    <d v="2017-03-05T00:00:00"/>
    <n v="1"/>
    <n v="1"/>
    <x v="2"/>
    <d v="2025-11-29T00:00:00"/>
    <d v="2025-11-29T13:09:52"/>
    <n v="2017"/>
    <s v="Mar"/>
  </r>
  <r>
    <s v="EMP1114"/>
    <s v="EMP"/>
    <n v="1114"/>
    <s v="Eve Adams"/>
    <x v="4"/>
    <x v="3"/>
    <n v="44627"/>
    <d v="2017-03-12T00:00:00"/>
    <n v="4"/>
    <m/>
    <s v="user97@example.com"/>
    <x v="111"/>
    <d v="2017-03-12T00:00:00"/>
    <n v="4"/>
    <n v="4"/>
    <x v="2"/>
    <d v="2025-11-29T00:00:00"/>
    <d v="2025-11-29T13:09:52"/>
    <n v="2017"/>
    <s v="Mar"/>
  </r>
  <r>
    <s v="EMP1115"/>
    <s v="EMP"/>
    <n v="1115"/>
    <s v="Bob Johnson"/>
    <x v="1"/>
    <x v="1"/>
    <n v="92343"/>
    <d v="2017-03-19T00:00:00"/>
    <n v="4"/>
    <s v="Female"/>
    <s v="user149@example.com"/>
    <x v="112"/>
    <d v="2017-03-19T00:00:00"/>
    <n v="4"/>
    <n v="4"/>
    <x v="3"/>
    <d v="2025-11-29T00:00:00"/>
    <d v="2025-11-29T13:09:52"/>
    <n v="2017"/>
    <s v="Mar"/>
  </r>
  <r>
    <s v="EMP1116"/>
    <s v="EMP"/>
    <n v="1116"/>
    <s v="Bob Johnson"/>
    <x v="4"/>
    <x v="4"/>
    <n v="38837"/>
    <d v="2017-03-26T00:00:00"/>
    <n v="5"/>
    <s v="Female"/>
    <s v="user192@example.com"/>
    <x v="113"/>
    <d v="2017-03-26T00:00:00"/>
    <n v="5"/>
    <n v="5"/>
    <x v="3"/>
    <d v="2025-11-29T00:00:00"/>
    <d v="2025-11-29T13:09:52"/>
    <n v="2017"/>
    <s v="Mar"/>
  </r>
  <r>
    <s v="EMP1117"/>
    <s v="EMP"/>
    <n v="1117"/>
    <s v="Bob Johnson"/>
    <x v="4"/>
    <x v="0"/>
    <n v="73483"/>
    <d v="2017-04-02T00:00:00"/>
    <n v="1"/>
    <m/>
    <s v="user137@example.com"/>
    <x v="114"/>
    <d v="2017-04-02T00:00:00"/>
    <n v="1"/>
    <n v="1"/>
    <x v="2"/>
    <d v="2025-11-29T00:00:00"/>
    <d v="2025-11-29T13:09:52"/>
    <n v="2017"/>
    <s v="Apr"/>
  </r>
  <r>
    <s v="EMP1118"/>
    <s v="EMP"/>
    <n v="1118"/>
    <s v="Chris Lee"/>
    <x v="2"/>
    <x v="0"/>
    <n v="95032"/>
    <d v="2017-04-09T00:00:00"/>
    <n v="3"/>
    <m/>
    <s v="user23@example.com"/>
    <x v="115"/>
    <d v="2017-04-09T00:00:00"/>
    <n v="3"/>
    <n v="3"/>
    <x v="2"/>
    <d v="2025-11-29T00:00:00"/>
    <d v="2025-11-29T13:09:52"/>
    <n v="2017"/>
    <s v="Apr"/>
  </r>
  <r>
    <s v="EMP1119"/>
    <s v="EMP"/>
    <n v="1119"/>
    <s v="Eve Adams"/>
    <x v="2"/>
    <x v="4"/>
    <n v="44358"/>
    <d v="2017-04-16T00:00:00"/>
    <m/>
    <s v="Female"/>
    <s v="user200@example.com"/>
    <x v="116"/>
    <d v="2017-04-16T00:00:00"/>
    <n v="2.7272727272727271"/>
    <n v="3"/>
    <x v="3"/>
    <d v="2025-11-29T00:00:00"/>
    <d v="2025-11-29T13:09:52"/>
    <n v="2017"/>
    <s v="Apr"/>
  </r>
  <r>
    <s v="EMP1120"/>
    <s v="EMP"/>
    <n v="1120"/>
    <s v="Unknown"/>
    <x v="3"/>
    <x v="2"/>
    <s v="N/A"/>
    <m/>
    <n v="5"/>
    <s v="Unknown"/>
    <s v="user101@example.com"/>
    <x v="117"/>
    <d v="2016-05-31T08:00:00"/>
    <n v="5"/>
    <n v="5"/>
    <x v="0"/>
    <d v="2025-11-29T00:00:00"/>
    <d v="2025-11-29T13:09:52"/>
    <n v="2016"/>
    <s v="May"/>
  </r>
  <r>
    <s v="EMP1121"/>
    <s v="EMP"/>
    <n v="1121"/>
    <s v="Chris Lee"/>
    <x v="2"/>
    <x v="2"/>
    <n v="45676"/>
    <d v="2017-04-30T00:00:00"/>
    <n v="2"/>
    <m/>
    <s v="user132@example.com"/>
    <x v="118"/>
    <d v="2017-04-30T00:00:00"/>
    <n v="2"/>
    <n v="2"/>
    <x v="2"/>
    <d v="2025-11-29T00:00:00"/>
    <d v="2025-11-29T13:09:52"/>
    <n v="2017"/>
    <s v="Apr"/>
  </r>
  <r>
    <s v="EMP1122"/>
    <s v="EMP"/>
    <n v="1122"/>
    <s v="Bob Johnson"/>
    <x v="2"/>
    <x v="1"/>
    <n v="52036"/>
    <d v="2017-05-07T00:00:00"/>
    <n v="3"/>
    <s v="Male"/>
    <s v="user171@example.com"/>
    <x v="119"/>
    <d v="2017-05-07T00:00:00"/>
    <n v="3"/>
    <n v="3"/>
    <x v="2"/>
    <d v="2025-11-29T00:00:00"/>
    <d v="2025-11-29T13:09:52"/>
    <n v="2017"/>
    <s v="May"/>
  </r>
  <r>
    <s v="EMP1123"/>
    <s v="EMP"/>
    <n v="1123"/>
    <s v="Jane Smith"/>
    <x v="4"/>
    <x v="1"/>
    <n v="30357"/>
    <d v="2017-05-14T00:00:00"/>
    <n v="5"/>
    <s v="Male"/>
    <s v="user145@example.com"/>
    <x v="120"/>
    <d v="2017-05-14T00:00:00"/>
    <n v="5"/>
    <n v="5"/>
    <x v="2"/>
    <d v="2025-11-29T00:00:00"/>
    <d v="2025-11-29T13:09:52"/>
    <n v="2017"/>
    <s v="May"/>
  </r>
  <r>
    <s v="EMP1124"/>
    <s v="EMP"/>
    <n v="1124"/>
    <s v="John Doe"/>
    <x v="3"/>
    <x v="0"/>
    <n v="60034"/>
    <d v="2017-05-21T00:00:00"/>
    <n v="1"/>
    <s v="Female"/>
    <s v="user75@example.com"/>
    <x v="121"/>
    <d v="2017-05-21T00:00:00"/>
    <n v="1"/>
    <n v="1"/>
    <x v="3"/>
    <d v="2025-11-29T00:00:00"/>
    <d v="2025-11-29T13:09:52"/>
    <n v="2017"/>
    <s v="May"/>
  </r>
  <r>
    <s v="EMP1125"/>
    <s v="EMP"/>
    <n v="1125"/>
    <s v="John Doe"/>
    <x v="0"/>
    <x v="0"/>
    <n v="90019"/>
    <d v="2017-05-28T00:00:00"/>
    <n v="5"/>
    <m/>
    <s v="user52@example.com"/>
    <x v="122"/>
    <d v="2017-05-28T00:00:00"/>
    <n v="5"/>
    <n v="5"/>
    <x v="2"/>
    <d v="2025-11-29T00:00:00"/>
    <d v="2025-11-29T13:09:52"/>
    <n v="2017"/>
    <s v="May"/>
  </r>
  <r>
    <s v="EMP1126"/>
    <s v="EMP"/>
    <n v="1126"/>
    <s v="Bob Johnson"/>
    <x v="4"/>
    <x v="1"/>
    <n v="71494"/>
    <d v="2017-06-04T00:00:00"/>
    <n v="3"/>
    <s v="Male"/>
    <s v="user100@example.com"/>
    <x v="123"/>
    <d v="2017-06-04T00:00:00"/>
    <n v="3"/>
    <n v="3"/>
    <x v="2"/>
    <d v="2025-11-29T00:00:00"/>
    <d v="2025-11-29T13:09:52"/>
    <n v="2017"/>
    <s v="Jun"/>
  </r>
  <r>
    <s v="EMP1127"/>
    <s v="EMP"/>
    <n v="1127"/>
    <s v="John Doe"/>
    <x v="0"/>
    <x v="2"/>
    <n v="91953"/>
    <d v="2017-06-11T00:00:00"/>
    <n v="2"/>
    <s v="Male"/>
    <s v="user83@example.com"/>
    <x v="124"/>
    <d v="2017-06-11T00:00:00"/>
    <n v="2"/>
    <n v="2"/>
    <x v="2"/>
    <d v="2025-11-29T00:00:00"/>
    <d v="2025-11-29T13:09:52"/>
    <n v="2017"/>
    <s v="Jun"/>
  </r>
  <r>
    <s v="EMP1128"/>
    <s v="EMP"/>
    <n v="1128"/>
    <s v="Chris Lee"/>
    <x v="2"/>
    <x v="2"/>
    <n v="30402"/>
    <d v="2017-06-18T00:00:00"/>
    <n v="1"/>
    <m/>
    <s v="user167@example.com"/>
    <x v="125"/>
    <d v="2017-06-18T00:00:00"/>
    <n v="1"/>
    <n v="1"/>
    <x v="2"/>
    <d v="2025-11-29T00:00:00"/>
    <d v="2025-11-29T13:09:52"/>
    <n v="2017"/>
    <s v="Jun"/>
  </r>
  <r>
    <s v="EMP1129"/>
    <s v="EMP"/>
    <n v="1129"/>
    <s v="Bob Johnson"/>
    <x v="4"/>
    <x v="3"/>
    <n v="62994"/>
    <d v="2017-06-25T00:00:00"/>
    <m/>
    <m/>
    <s v="user175@example.com"/>
    <x v="126"/>
    <d v="2017-06-25T00:00:00"/>
    <n v="3.1086956521739131"/>
    <n v="3"/>
    <x v="2"/>
    <d v="2025-11-29T00:00:00"/>
    <d v="2025-11-29T13:09:52"/>
    <n v="2017"/>
    <s v="Jun"/>
  </r>
  <r>
    <s v="EMP1130"/>
    <s v="EMP"/>
    <n v="1130"/>
    <s v="Alice Brown"/>
    <x v="2"/>
    <x v="0"/>
    <n v="48289"/>
    <m/>
    <n v="3"/>
    <s v="Male"/>
    <s v="user25@example.com"/>
    <x v="127"/>
    <d v="2016-07-12T01:00:00"/>
    <n v="3"/>
    <n v="3"/>
    <x v="2"/>
    <d v="2025-11-29T00:00:00"/>
    <d v="2025-11-29T13:09:52"/>
    <n v="2016"/>
    <s v="Jul"/>
  </r>
  <r>
    <s v="EMP1131"/>
    <s v="EMP"/>
    <n v="1131"/>
    <s v="Sam Wilson"/>
    <x v="4"/>
    <x v="1"/>
    <n v="34402"/>
    <d v="2017-07-09T00:00:00"/>
    <n v="3"/>
    <s v="Other"/>
    <s v="user42@example.com"/>
    <x v="128"/>
    <d v="2017-07-09T00:00:00"/>
    <n v="3"/>
    <n v="3"/>
    <x v="1"/>
    <d v="2025-11-29T00:00:00"/>
    <d v="2025-11-29T13:09:52"/>
    <n v="2017"/>
    <s v="Jul"/>
  </r>
  <r>
    <s v="EMP1132"/>
    <s v="EMP"/>
    <n v="1132"/>
    <s v="Eve Adams"/>
    <x v="1"/>
    <x v="2"/>
    <n v="38678"/>
    <d v="2017-07-16T00:00:00"/>
    <n v="3"/>
    <s v="Other"/>
    <s v="user188@example.com"/>
    <x v="129"/>
    <d v="2017-07-16T00:00:00"/>
    <n v="3"/>
    <n v="3"/>
    <x v="1"/>
    <d v="2025-11-29T00:00:00"/>
    <d v="2025-11-29T13:09:52"/>
    <n v="2017"/>
    <s v="Jul"/>
  </r>
  <r>
    <s v="EMP1133"/>
    <s v="EMP"/>
    <n v="1133"/>
    <s v="Chris Lee"/>
    <x v="1"/>
    <x v="1"/>
    <n v="45758"/>
    <d v="2017-07-23T00:00:00"/>
    <n v="3"/>
    <m/>
    <s v="user44@example.com"/>
    <x v="130"/>
    <d v="2017-07-23T00:00:00"/>
    <n v="3"/>
    <n v="3"/>
    <x v="2"/>
    <d v="2025-11-29T00:00:00"/>
    <d v="2025-11-29T13:09:52"/>
    <n v="2017"/>
    <s v="Jul"/>
  </r>
  <r>
    <s v="EMP1134"/>
    <s v="EMP"/>
    <n v="1134"/>
    <s v="Eve Adams"/>
    <x v="4"/>
    <x v="0"/>
    <n v="62476"/>
    <d v="2017-07-30T00:00:00"/>
    <n v="1"/>
    <s v="Other"/>
    <s v="user63@example.com"/>
    <x v="131"/>
    <d v="2017-07-30T00:00:00"/>
    <n v="1"/>
    <n v="1"/>
    <x v="1"/>
    <d v="2025-11-29T00:00:00"/>
    <d v="2025-11-29T13:09:52"/>
    <n v="2017"/>
    <s v="Jul"/>
  </r>
  <r>
    <s v="EMP1135"/>
    <s v="EMP"/>
    <n v="1135"/>
    <s v="Unknown"/>
    <x v="3"/>
    <x v="3"/>
    <n v="39280"/>
    <d v="2017-08-06T00:00:00"/>
    <n v="3"/>
    <s v="Female"/>
    <s v="user198@example.com"/>
    <x v="132"/>
    <d v="2017-08-06T00:00:00"/>
    <n v="3"/>
    <n v="3"/>
    <x v="3"/>
    <d v="2025-11-29T00:00:00"/>
    <d v="2025-11-29T13:09:52"/>
    <n v="2017"/>
    <s v="Aug"/>
  </r>
  <r>
    <s v="EMP1136"/>
    <s v="EMP"/>
    <n v="1136"/>
    <s v="Jane Smith"/>
    <x v="0"/>
    <x v="0"/>
    <n v="60335"/>
    <d v="2017-08-13T00:00:00"/>
    <n v="4"/>
    <s v="Other"/>
    <s v="user59@example.com"/>
    <x v="133"/>
    <d v="2017-08-13T00:00:00"/>
    <n v="4"/>
    <n v="4"/>
    <x v="1"/>
    <d v="2025-11-29T00:00:00"/>
    <d v="2025-11-29T13:09:52"/>
    <n v="2017"/>
    <s v="Aug"/>
  </r>
  <r>
    <s v="EMP1137"/>
    <s v="EMP"/>
    <n v="1137"/>
    <s v="Chris Lee"/>
    <x v="1"/>
    <x v="1"/>
    <n v="84968"/>
    <d v="2017-08-20T00:00:00"/>
    <m/>
    <m/>
    <s v="user165@example.com"/>
    <x v="134"/>
    <d v="2017-08-20T00:00:00"/>
    <n v="2.7"/>
    <n v="3"/>
    <x v="2"/>
    <d v="2025-11-29T00:00:00"/>
    <d v="2025-11-29T13:09:52"/>
    <n v="2017"/>
    <s v="Aug"/>
  </r>
  <r>
    <s v="EMP1138"/>
    <s v="EMP"/>
    <n v="1138"/>
    <s v="Chris Lee"/>
    <x v="4"/>
    <x v="4"/>
    <n v="84750"/>
    <d v="2017-08-27T00:00:00"/>
    <n v="4"/>
    <s v="Female"/>
    <s v="user3@example.com"/>
    <x v="135"/>
    <d v="2017-08-27T00:00:00"/>
    <n v="4"/>
    <n v="4"/>
    <x v="3"/>
    <d v="2025-11-29T00:00:00"/>
    <d v="2025-11-29T13:09:52"/>
    <n v="2017"/>
    <s v="Aug"/>
  </r>
  <r>
    <s v="EMP1139"/>
    <s v="EMP"/>
    <n v="1139"/>
    <s v="Bob Johnson"/>
    <x v="3"/>
    <x v="0"/>
    <n v="73348"/>
    <d v="2017-09-03T00:00:00"/>
    <n v="2"/>
    <m/>
    <s v="user22@example.com"/>
    <x v="136"/>
    <d v="2017-09-03T00:00:00"/>
    <n v="2"/>
    <n v="2"/>
    <x v="2"/>
    <d v="2025-11-29T00:00:00"/>
    <d v="2025-11-29T13:09:52"/>
    <n v="2017"/>
    <s v="Sep"/>
  </r>
  <r>
    <s v="EMP1140"/>
    <s v="EMP"/>
    <n v="1140"/>
    <s v="Chris Lee"/>
    <x v="2"/>
    <x v="2"/>
    <s v="N/A"/>
    <d v="2017-09-10T00:00:00"/>
    <n v="4"/>
    <s v="Other"/>
    <s v="invalid_email"/>
    <x v="137"/>
    <d v="2017-09-10T00:00:00"/>
    <n v="4"/>
    <n v="4"/>
    <x v="1"/>
    <d v="2025-11-29T00:00:00"/>
    <d v="2025-11-29T13:09:52"/>
    <n v="2017"/>
    <s v="Sep"/>
  </r>
  <r>
    <s v="EMP1141"/>
    <s v="EMP"/>
    <n v="1141"/>
    <s v="Jane Smith"/>
    <x v="4"/>
    <x v="2"/>
    <n v="66882"/>
    <d v="2017-09-17T00:00:00"/>
    <n v="5"/>
    <s v="Other"/>
    <s v="user103@example.com"/>
    <x v="138"/>
    <d v="2017-09-17T00:00:00"/>
    <n v="5"/>
    <n v="5"/>
    <x v="1"/>
    <d v="2025-11-29T00:00:00"/>
    <d v="2025-11-29T13:09:52"/>
    <n v="2017"/>
    <s v="Sep"/>
  </r>
  <r>
    <s v="EMP1142"/>
    <s v="EMP"/>
    <n v="1142"/>
    <s v="Alice Brown"/>
    <x v="4"/>
    <x v="0"/>
    <n v="86775"/>
    <d v="2017-09-24T00:00:00"/>
    <n v="3"/>
    <s v="Other"/>
    <s v="user190@example.com"/>
    <x v="139"/>
    <d v="2017-09-24T00:00:00"/>
    <n v="3"/>
    <n v="3"/>
    <x v="1"/>
    <d v="2025-11-29T00:00:00"/>
    <d v="2025-11-29T13:09:52"/>
    <n v="2017"/>
    <s v="Sep"/>
  </r>
  <r>
    <s v="EMP1143"/>
    <s v="EMP"/>
    <n v="1143"/>
    <s v="Chris Lee"/>
    <x v="2"/>
    <x v="3"/>
    <n v="91620"/>
    <d v="2017-10-01T00:00:00"/>
    <m/>
    <m/>
    <s v="user114@example.com"/>
    <x v="140"/>
    <d v="2017-10-01T00:00:00"/>
    <n v="2.7272727272727271"/>
    <n v="3"/>
    <x v="2"/>
    <d v="2025-11-29T00:00:00"/>
    <d v="2025-11-29T13:09:52"/>
    <n v="2017"/>
    <s v="Oct"/>
  </r>
  <r>
    <s v="EMP1144"/>
    <s v="EMP"/>
    <n v="1144"/>
    <s v="Eve Adams"/>
    <x v="4"/>
    <x v="0"/>
    <n v="94148"/>
    <d v="2017-10-08T00:00:00"/>
    <n v="2"/>
    <m/>
    <s v="user53@example.com"/>
    <x v="141"/>
    <d v="2017-10-08T00:00:00"/>
    <n v="2"/>
    <n v="2"/>
    <x v="2"/>
    <d v="2025-11-29T00:00:00"/>
    <d v="2025-11-29T13:09:52"/>
    <n v="2017"/>
    <s v="Oct"/>
  </r>
  <r>
    <s v="EMP1145"/>
    <s v="EMP"/>
    <n v="1145"/>
    <s v="Sam Wilson"/>
    <x v="2"/>
    <x v="4"/>
    <n v="35627"/>
    <d v="2017-10-15T00:00:00"/>
    <n v="5"/>
    <s v="Female"/>
    <s v="user188@example.com"/>
    <x v="142"/>
    <d v="2017-10-15T00:00:00"/>
    <n v="5"/>
    <n v="5"/>
    <x v="3"/>
    <d v="2025-11-29T00:00:00"/>
    <d v="2025-11-29T13:09:52"/>
    <n v="2017"/>
    <s v="Oct"/>
  </r>
  <r>
    <s v="EMP1146"/>
    <s v="EMP"/>
    <n v="1146"/>
    <s v="John Doe"/>
    <x v="4"/>
    <x v="2"/>
    <n v="57141"/>
    <d v="2017-10-22T00:00:00"/>
    <n v="2"/>
    <m/>
    <s v="user165@example.com"/>
    <x v="143"/>
    <d v="2017-10-22T00:00:00"/>
    <n v="2"/>
    <n v="2"/>
    <x v="2"/>
    <d v="2025-11-29T00:00:00"/>
    <d v="2025-11-29T13:09:52"/>
    <n v="2017"/>
    <s v="Oct"/>
  </r>
  <r>
    <s v="EMP1147"/>
    <s v="EMP"/>
    <n v="1147"/>
    <s v="Bob Johnson"/>
    <x v="2"/>
    <x v="4"/>
    <n v="65270"/>
    <d v="2017-10-29T00:00:00"/>
    <n v="1"/>
    <m/>
    <s v="user163@example.com"/>
    <x v="144"/>
    <d v="2017-10-29T00:00:00"/>
    <n v="1"/>
    <n v="1"/>
    <x v="2"/>
    <d v="2025-11-29T00:00:00"/>
    <d v="2025-11-29T13:09:52"/>
    <n v="2017"/>
    <s v="Oct"/>
  </r>
  <r>
    <s v="EMP1148"/>
    <s v="EMP"/>
    <n v="1148"/>
    <s v="Bob Johnson"/>
    <x v="4"/>
    <x v="3"/>
    <n v="67335"/>
    <d v="2017-11-05T00:00:00"/>
    <n v="1"/>
    <s v="Other"/>
    <s v="user112@example.com"/>
    <x v="145"/>
    <d v="2017-11-05T00:00:00"/>
    <n v="1"/>
    <n v="1"/>
    <x v="1"/>
    <d v="2025-11-29T00:00:00"/>
    <d v="2025-11-29T13:09:52"/>
    <n v="2017"/>
    <s v="Nov"/>
  </r>
  <r>
    <s v="EMP1149"/>
    <s v="EMP"/>
    <n v="1149"/>
    <s v="Sam Wilson"/>
    <x v="4"/>
    <x v="0"/>
    <n v="98475"/>
    <d v="2017-11-12T00:00:00"/>
    <n v="5"/>
    <s v="Other"/>
    <s v="user30@example.com"/>
    <x v="146"/>
    <d v="2017-11-12T00:00:00"/>
    <n v="5"/>
    <n v="5"/>
    <x v="1"/>
    <d v="2025-11-29T00:00:00"/>
    <d v="2025-11-29T13:09:52"/>
    <n v="2017"/>
    <s v="No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D4C0A0-F77A-4D67-B57A-8569D9864F38}" name="PivotTable6"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Department">
  <location ref="A9:B15" firstHeaderRow="1" firstDataRow="1" firstDataCol="1"/>
  <pivotFields count="20">
    <pivotField showAll="0"/>
    <pivotField showAll="0"/>
    <pivotField showAll="0"/>
    <pivotField showAll="0"/>
    <pivotField axis="axisRow" showAll="0">
      <items count="6">
        <item x="0"/>
        <item x="1"/>
        <item x="3"/>
        <item x="4"/>
        <item x="2"/>
        <item t="default"/>
      </items>
    </pivotField>
    <pivotField showAll="0">
      <items count="6">
        <item x="4"/>
        <item x="1"/>
        <item x="0"/>
        <item x="3"/>
        <item x="2"/>
        <item t="default"/>
      </items>
    </pivotField>
    <pivotField showAll="0"/>
    <pivotField showAll="0"/>
    <pivotField showAll="0"/>
    <pivotField showAll="0"/>
    <pivotField showAll="0"/>
    <pivotField dataField="1" numFmtId="166" showAll="0">
      <items count="148">
        <item x="51"/>
        <item x="120"/>
        <item x="125"/>
        <item x="49"/>
        <item x="107"/>
        <item x="60"/>
        <item x="92"/>
        <item x="52"/>
        <item x="64"/>
        <item x="84"/>
        <item x="40"/>
        <item x="108"/>
        <item x="128"/>
        <item x="83"/>
        <item x="42"/>
        <item x="7"/>
        <item x="142"/>
        <item x="23"/>
        <item x="62"/>
        <item x="22"/>
        <item x="129"/>
        <item x="87"/>
        <item x="113"/>
        <item x="132"/>
        <item x="50"/>
        <item x="73"/>
        <item x="17"/>
        <item x="27"/>
        <item x="67"/>
        <item x="99"/>
        <item x="80"/>
        <item x="116"/>
        <item x="111"/>
        <item x="82"/>
        <item x="118"/>
        <item x="130"/>
        <item x="110"/>
        <item x="39"/>
        <item x="127"/>
        <item x="103"/>
        <item x="28"/>
        <item x="88"/>
        <item x="119"/>
        <item x="38"/>
        <item x="25"/>
        <item x="1"/>
        <item x="35"/>
        <item x="85"/>
        <item x="71"/>
        <item x="143"/>
        <item x="46"/>
        <item x="44"/>
        <item x="14"/>
        <item x="55"/>
        <item x="121"/>
        <item x="133"/>
        <item x="101"/>
        <item x="66"/>
        <item x="13"/>
        <item x="131"/>
        <item x="126"/>
        <item x="2"/>
        <item x="86"/>
        <item x="4"/>
        <item x="10"/>
        <item x="37"/>
        <item x="41"/>
        <item x="59"/>
        <item x="144"/>
        <item x="0"/>
        <item x="78"/>
        <item x="117"/>
        <item x="98"/>
        <item x="47"/>
        <item x="105"/>
        <item x="138"/>
        <item x="145"/>
        <item x="19"/>
        <item x="6"/>
        <item x="20"/>
        <item x="137"/>
        <item x="76"/>
        <item x="89"/>
        <item x="69"/>
        <item x="97"/>
        <item x="96"/>
        <item x="123"/>
        <item x="94"/>
        <item x="136"/>
        <item x="114"/>
        <item x="18"/>
        <item x="54"/>
        <item x="53"/>
        <item x="91"/>
        <item x="26"/>
        <item x="68"/>
        <item x="77"/>
        <item x="109"/>
        <item x="5"/>
        <item x="48"/>
        <item x="100"/>
        <item x="34"/>
        <item x="90"/>
        <item x="43"/>
        <item x="58"/>
        <item x="63"/>
        <item x="135"/>
        <item x="57"/>
        <item x="134"/>
        <item x="70"/>
        <item x="104"/>
        <item x="139"/>
        <item x="102"/>
        <item x="106"/>
        <item x="95"/>
        <item x="36"/>
        <item x="122"/>
        <item x="16"/>
        <item x="24"/>
        <item x="72"/>
        <item x="11"/>
        <item x="140"/>
        <item x="9"/>
        <item x="124"/>
        <item x="30"/>
        <item x="31"/>
        <item x="112"/>
        <item x="15"/>
        <item x="45"/>
        <item x="29"/>
        <item x="141"/>
        <item x="75"/>
        <item x="3"/>
        <item x="115"/>
        <item x="33"/>
        <item x="32"/>
        <item x="79"/>
        <item x="93"/>
        <item x="74"/>
        <item x="65"/>
        <item x="12"/>
        <item x="56"/>
        <item x="8"/>
        <item x="61"/>
        <item x="146"/>
        <item x="21"/>
        <item x="81"/>
        <item t="default"/>
      </items>
    </pivotField>
    <pivotField numFmtId="167" showAll="0"/>
    <pivotField showAll="0"/>
    <pivotField showAll="0"/>
    <pivotField showAll="0">
      <items count="5">
        <item x="3"/>
        <item x="2"/>
        <item x="1"/>
        <item x="0"/>
        <item t="default"/>
      </items>
    </pivotField>
    <pivotField numFmtId="14" showAll="0"/>
    <pivotField numFmtId="22" showAll="0"/>
    <pivotField showAll="0"/>
    <pivotField showAll="0"/>
  </pivotFields>
  <rowFields count="1">
    <field x="4"/>
  </rowFields>
  <rowItems count="6">
    <i>
      <x/>
    </i>
    <i>
      <x v="1"/>
    </i>
    <i>
      <x v="2"/>
    </i>
    <i>
      <x v="3"/>
    </i>
    <i>
      <x v="4"/>
    </i>
    <i t="grand">
      <x/>
    </i>
  </rowItems>
  <colItems count="1">
    <i/>
  </colItems>
  <dataFields count="1">
    <dataField name="Average of Salary2" fld="11" subtotal="average" baseField="4" baseItem="0" numFmtId="165"/>
  </dataFields>
  <formats count="19">
    <format dxfId="18">
      <pivotArea outline="0" collapsedLevelsAreSubtotals="1" fieldPosition="0"/>
    </format>
    <format dxfId="17">
      <pivotArea type="all" dataOnly="0" outline="0" fieldPosition="0"/>
    </format>
    <format dxfId="16">
      <pivotArea outline="0" collapsedLevelsAreSubtotals="1" fieldPosition="0"/>
    </format>
    <format dxfId="15">
      <pivotArea field="4" type="button" dataOnly="0" labelOnly="1" outline="0" axis="axisRow" fieldPosition="0"/>
    </format>
    <format dxfId="14">
      <pivotArea dataOnly="0" labelOnly="1" fieldPosition="0">
        <references count="1">
          <reference field="4" count="0"/>
        </references>
      </pivotArea>
    </format>
    <format dxfId="13">
      <pivotArea dataOnly="0" labelOnly="1" grandRow="1" outline="0" fieldPosition="0"/>
    </format>
    <format dxfId="12">
      <pivotArea dataOnly="0" labelOnly="1" outline="0" axis="axisValues" fieldPosition="0"/>
    </format>
    <format dxfId="11">
      <pivotArea type="all" dataOnly="0" outline="0" fieldPosition="0"/>
    </format>
    <format dxfId="10">
      <pivotArea outline="0" collapsedLevelsAreSubtotals="1" fieldPosition="0"/>
    </format>
    <format dxfId="9">
      <pivotArea field="4" type="button" dataOnly="0" labelOnly="1" outline="0" axis="axisRow" fieldPosition="0"/>
    </format>
    <format dxfId="8">
      <pivotArea dataOnly="0" labelOnly="1" fieldPosition="0">
        <references count="1">
          <reference field="4" count="0"/>
        </references>
      </pivotArea>
    </format>
    <format dxfId="7">
      <pivotArea dataOnly="0" labelOnly="1" grandRow="1" outline="0" fieldPosition="0"/>
    </format>
    <format dxfId="6">
      <pivotArea dataOnly="0" labelOnly="1" outline="0" axis="axisValues" fieldPosition="0"/>
    </format>
    <format dxfId="5">
      <pivotArea type="all" dataOnly="0" outline="0" fieldPosition="0"/>
    </format>
    <format dxfId="4">
      <pivotArea outline="0" collapsedLevelsAreSubtotals="1" fieldPosition="0"/>
    </format>
    <format dxfId="3">
      <pivotArea field="4" type="button" dataOnly="0" labelOnly="1" outline="0" axis="axisRow" fieldPosition="0"/>
    </format>
    <format dxfId="2">
      <pivotArea dataOnly="0" labelOnly="1" fieldPosition="0">
        <references count="1">
          <reference field="4" count="0"/>
        </references>
      </pivotArea>
    </format>
    <format dxfId="1">
      <pivotArea dataOnly="0" labelOnly="1" grandRow="1" outline="0" fieldPosition="0"/>
    </format>
    <format dxfId="0">
      <pivotArea dataOnly="0" labelOnly="1" outline="0" axis="axisValues" fieldPosition="0"/>
    </format>
  </formats>
  <conditionalFormats count="1">
    <conditionalFormat priority="5">
      <pivotAreas count="1">
        <pivotArea type="data" collapsedLevelsAreSubtotals="1" fieldPosition="0">
          <references count="2">
            <reference field="4294967294" count="1" selected="0">
              <x v="0"/>
            </reference>
            <reference field="4" count="5">
              <x v="0"/>
              <x v="1"/>
              <x v="2"/>
              <x v="3"/>
              <x v="4"/>
            </reference>
          </references>
        </pivotArea>
      </pivotAreas>
    </conditionalFormat>
  </conditionalFormats>
  <chartFormats count="1">
    <chartFormat chart="2" format="2" series="1">
      <pivotArea type="data" outline="0" fieldPosition="0">
        <references count="1">
          <reference field="4294967294" count="1" selected="0">
            <x v="0"/>
          </reference>
        </references>
      </pivotArea>
    </chartFormat>
  </chartFormat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70327FB-0AB8-447A-A47F-66BB9162D896}" name="PivotTable5"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Department">
  <location ref="A1:B7" firstHeaderRow="1" firstDataRow="1" firstDataCol="1"/>
  <pivotFields count="20">
    <pivotField showAll="0"/>
    <pivotField showAll="0"/>
    <pivotField showAll="0"/>
    <pivotField showAll="0"/>
    <pivotField showAll="0">
      <items count="6">
        <item x="0"/>
        <item x="1"/>
        <item x="3"/>
        <item x="4"/>
        <item x="2"/>
        <item t="default"/>
      </items>
    </pivotField>
    <pivotField axis="axisRow" showAll="0">
      <items count="6">
        <item x="4"/>
        <item x="1"/>
        <item x="0"/>
        <item x="3"/>
        <item x="2"/>
        <item t="default"/>
      </items>
    </pivotField>
    <pivotField showAll="0"/>
    <pivotField showAll="0"/>
    <pivotField showAll="0"/>
    <pivotField showAll="0"/>
    <pivotField showAll="0"/>
    <pivotField dataField="1" numFmtId="166" showAll="0"/>
    <pivotField numFmtId="167" showAll="0"/>
    <pivotField showAll="0"/>
    <pivotField showAll="0"/>
    <pivotField showAll="0">
      <items count="5">
        <item x="3"/>
        <item x="2"/>
        <item x="1"/>
        <item x="0"/>
        <item t="default"/>
      </items>
    </pivotField>
    <pivotField numFmtId="14" showAll="0"/>
    <pivotField numFmtId="22" showAll="0"/>
    <pivotField showAll="0"/>
    <pivotField showAll="0"/>
  </pivotFields>
  <rowFields count="1">
    <field x="5"/>
  </rowFields>
  <rowItems count="6">
    <i>
      <x/>
    </i>
    <i>
      <x v="1"/>
    </i>
    <i>
      <x v="2"/>
    </i>
    <i>
      <x v="3"/>
    </i>
    <i>
      <x v="4"/>
    </i>
    <i t="grand">
      <x/>
    </i>
  </rowItems>
  <colItems count="1">
    <i/>
  </colItems>
  <dataFields count="1">
    <dataField name="Average of Salary2" fld="11" subtotal="average" baseField="5" baseItem="0"/>
  </dataFields>
  <formats count="20">
    <format dxfId="38">
      <pivotArea collapsedLevelsAreSubtotals="1" fieldPosition="0">
        <references count="1">
          <reference field="5" count="0"/>
        </references>
      </pivotArea>
    </format>
    <format dxfId="37">
      <pivotArea grandRow="1" outline="0" collapsedLevelsAreSubtotals="1" fieldPosition="0"/>
    </format>
    <format dxfId="36">
      <pivotArea type="all" dataOnly="0" outline="0" fieldPosition="0"/>
    </format>
    <format dxfId="35">
      <pivotArea outline="0" collapsedLevelsAreSubtotals="1" fieldPosition="0"/>
    </format>
    <format dxfId="34">
      <pivotArea field="5" type="button" dataOnly="0" labelOnly="1" outline="0" axis="axisRow" fieldPosition="0"/>
    </format>
    <format dxfId="33">
      <pivotArea dataOnly="0" labelOnly="1" fieldPosition="0">
        <references count="1">
          <reference field="5" count="0"/>
        </references>
      </pivotArea>
    </format>
    <format dxfId="32">
      <pivotArea dataOnly="0" labelOnly="1" grandRow="1" outline="0" fieldPosition="0"/>
    </format>
    <format dxfId="31">
      <pivotArea dataOnly="0" labelOnly="1" outline="0" axis="axisValues" fieldPosition="0"/>
    </format>
    <format dxfId="30">
      <pivotArea type="all" dataOnly="0" outline="0" fieldPosition="0"/>
    </format>
    <format dxfId="29">
      <pivotArea outline="0" collapsedLevelsAreSubtotals="1" fieldPosition="0"/>
    </format>
    <format dxfId="28">
      <pivotArea field="5" type="button" dataOnly="0" labelOnly="1" outline="0" axis="axisRow" fieldPosition="0"/>
    </format>
    <format dxfId="27">
      <pivotArea dataOnly="0" labelOnly="1" fieldPosition="0">
        <references count="1">
          <reference field="5" count="0"/>
        </references>
      </pivotArea>
    </format>
    <format dxfId="26">
      <pivotArea dataOnly="0" labelOnly="1" grandRow="1" outline="0" fieldPosition="0"/>
    </format>
    <format dxfId="25">
      <pivotArea dataOnly="0" labelOnly="1" outline="0" axis="axisValues" fieldPosition="0"/>
    </format>
    <format dxfId="24">
      <pivotArea type="all" dataOnly="0" outline="0" fieldPosition="0"/>
    </format>
    <format dxfId="23">
      <pivotArea outline="0" collapsedLevelsAreSubtotals="1" fieldPosition="0"/>
    </format>
    <format dxfId="22">
      <pivotArea field="5" type="button" dataOnly="0" labelOnly="1" outline="0" axis="axisRow" fieldPosition="0"/>
    </format>
    <format dxfId="21">
      <pivotArea dataOnly="0" labelOnly="1" fieldPosition="0">
        <references count="1">
          <reference field="5" count="0"/>
        </references>
      </pivotArea>
    </format>
    <format dxfId="20">
      <pivotArea dataOnly="0" labelOnly="1" grandRow="1" outline="0" fieldPosition="0"/>
    </format>
    <format dxfId="19">
      <pivotArea dataOnly="0" labelOnly="1" outline="0" axis="axisValues" fieldPosition="0"/>
    </format>
  </formats>
  <conditionalFormats count="1">
    <conditionalFormat priority="4">
      <pivotAreas count="1">
        <pivotArea type="data" collapsedLevelsAreSubtotals="1" fieldPosition="0">
          <references count="2">
            <reference field="4294967294" count="1" selected="0">
              <x v="0"/>
            </reference>
            <reference field="5" count="5">
              <x v="0"/>
              <x v="1"/>
              <x v="2"/>
              <x v="3"/>
              <x v="4"/>
            </reference>
          </references>
        </pivotArea>
      </pivotAreas>
    </conditionalFormat>
  </conditionalFormats>
  <chartFormats count="1">
    <chartFormat chart="2" format="2" series="1">
      <pivotArea type="data" outline="0" fieldPosition="0">
        <references count="1">
          <reference field="4294967294" count="1" selected="0">
            <x v="0"/>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1AE7FDA-C8D4-404E-A287-995DA320176E}" name="PivotTable8"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2" rowHeaderCaption="Country">
  <location ref="A25:B31" firstHeaderRow="1" firstDataRow="1" firstDataCol="1"/>
  <pivotFields count="20">
    <pivotField showAll="0"/>
    <pivotField showAll="0"/>
    <pivotField showAll="0"/>
    <pivotField showAll="0"/>
    <pivotField showAll="0">
      <items count="6">
        <item x="0"/>
        <item x="1"/>
        <item x="3"/>
        <item x="4"/>
        <item x="2"/>
        <item t="default"/>
      </items>
    </pivotField>
    <pivotField axis="axisRow" showAll="0">
      <items count="6">
        <item x="4"/>
        <item x="1"/>
        <item x="0"/>
        <item x="3"/>
        <item x="2"/>
        <item t="default"/>
      </items>
    </pivotField>
    <pivotField showAll="0"/>
    <pivotField showAll="0"/>
    <pivotField showAll="0"/>
    <pivotField showAll="0"/>
    <pivotField showAll="0"/>
    <pivotField dataField="1" numFmtId="166" showAll="0"/>
    <pivotField numFmtId="167" showAll="0"/>
    <pivotField showAll="0"/>
    <pivotField showAll="0"/>
    <pivotField showAll="0">
      <items count="5">
        <item x="3"/>
        <item x="2"/>
        <item x="1"/>
        <item x="0"/>
        <item t="default"/>
      </items>
    </pivotField>
    <pivotField numFmtId="14" showAll="0"/>
    <pivotField numFmtId="22" showAll="0"/>
    <pivotField showAll="0"/>
    <pivotField showAll="0"/>
  </pivotFields>
  <rowFields count="1">
    <field x="5"/>
  </rowFields>
  <rowItems count="6">
    <i>
      <x/>
    </i>
    <i>
      <x v="1"/>
    </i>
    <i>
      <x v="2"/>
    </i>
    <i>
      <x v="3"/>
    </i>
    <i>
      <x v="4"/>
    </i>
    <i t="grand">
      <x/>
    </i>
  </rowItems>
  <colItems count="1">
    <i/>
  </colItems>
  <dataFields count="1">
    <dataField name="Count of Salary2" fld="11" subtotal="count" baseField="5" baseItem="0"/>
  </dataFields>
  <formats count="20">
    <format dxfId="58">
      <pivotArea outline="0" collapsedLevelsAreSubtotals="1" fieldPosition="0"/>
    </format>
    <format dxfId="57">
      <pivotArea dataOnly="0" outline="0" fieldPosition="0">
        <references count="1">
          <reference field="4294967294" count="1">
            <x v="0"/>
          </reference>
        </references>
      </pivotArea>
    </format>
    <format dxfId="56">
      <pivotArea type="all" dataOnly="0" outline="0" fieldPosition="0"/>
    </format>
    <format dxfId="55">
      <pivotArea outline="0" collapsedLevelsAreSubtotals="1" fieldPosition="0"/>
    </format>
    <format dxfId="54">
      <pivotArea field="5" type="button" dataOnly="0" labelOnly="1" outline="0" axis="axisRow" fieldPosition="0"/>
    </format>
    <format dxfId="53">
      <pivotArea dataOnly="0" labelOnly="1" fieldPosition="0">
        <references count="1">
          <reference field="5" count="0"/>
        </references>
      </pivotArea>
    </format>
    <format dxfId="52">
      <pivotArea dataOnly="0" labelOnly="1" grandRow="1" outline="0" fieldPosition="0"/>
    </format>
    <format dxfId="51">
      <pivotArea dataOnly="0" labelOnly="1" outline="0" fieldPosition="0">
        <references count="1">
          <reference field="4294967294" count="1">
            <x v="0"/>
          </reference>
        </references>
      </pivotArea>
    </format>
    <format dxfId="50">
      <pivotArea type="all" dataOnly="0" outline="0" fieldPosition="0"/>
    </format>
    <format dxfId="49">
      <pivotArea outline="0" collapsedLevelsAreSubtotals="1" fieldPosition="0"/>
    </format>
    <format dxfId="48">
      <pivotArea field="5" type="button" dataOnly="0" labelOnly="1" outline="0" axis="axisRow" fieldPosition="0"/>
    </format>
    <format dxfId="47">
      <pivotArea dataOnly="0" labelOnly="1" fieldPosition="0">
        <references count="1">
          <reference field="5" count="0"/>
        </references>
      </pivotArea>
    </format>
    <format dxfId="46">
      <pivotArea dataOnly="0" labelOnly="1" grandRow="1" outline="0" fieldPosition="0"/>
    </format>
    <format dxfId="45">
      <pivotArea dataOnly="0" labelOnly="1" outline="0" fieldPosition="0">
        <references count="1">
          <reference field="4294967294" count="1">
            <x v="0"/>
          </reference>
        </references>
      </pivotArea>
    </format>
    <format dxfId="44">
      <pivotArea type="all" dataOnly="0" outline="0" fieldPosition="0"/>
    </format>
    <format dxfId="43">
      <pivotArea outline="0" collapsedLevelsAreSubtotals="1" fieldPosition="0"/>
    </format>
    <format dxfId="42">
      <pivotArea field="5" type="button" dataOnly="0" labelOnly="1" outline="0" axis="axisRow" fieldPosition="0"/>
    </format>
    <format dxfId="41">
      <pivotArea dataOnly="0" labelOnly="1" fieldPosition="0">
        <references count="1">
          <reference field="5" count="0"/>
        </references>
      </pivotArea>
    </format>
    <format dxfId="40">
      <pivotArea dataOnly="0" labelOnly="1" grandRow="1" outline="0" fieldPosition="0"/>
    </format>
    <format dxfId="39">
      <pivotArea dataOnly="0" labelOnly="1" outline="0" fieldPosition="0">
        <references count="1">
          <reference field="4294967294" count="1">
            <x v="0"/>
          </reference>
        </references>
      </pivotArea>
    </format>
  </formats>
  <conditionalFormats count="1">
    <conditionalFormat priority="7">
      <pivotAreas count="1">
        <pivotArea type="data" collapsedLevelsAreSubtotals="1" fieldPosition="0">
          <references count="2">
            <reference field="4294967294" count="1" selected="0">
              <x v="0"/>
            </reference>
            <reference field="5" count="5">
              <x v="0"/>
              <x v="1"/>
              <x v="2"/>
              <x v="3"/>
              <x v="4"/>
            </reference>
          </references>
        </pivotArea>
      </pivotAreas>
    </conditionalFormat>
  </conditionalFormats>
  <chartFormats count="6">
    <chartFormat chart="10" format="7" series="1">
      <pivotArea type="data" outline="0" fieldPosition="0">
        <references count="1">
          <reference field="4294967294" count="1" selected="0">
            <x v="0"/>
          </reference>
        </references>
      </pivotArea>
    </chartFormat>
    <chartFormat chart="10" format="8">
      <pivotArea type="data" outline="0" fieldPosition="0">
        <references count="2">
          <reference field="4294967294" count="1" selected="0">
            <x v="0"/>
          </reference>
          <reference field="5" count="1" selected="0">
            <x v="0"/>
          </reference>
        </references>
      </pivotArea>
    </chartFormat>
    <chartFormat chart="10" format="9">
      <pivotArea type="data" outline="0" fieldPosition="0">
        <references count="2">
          <reference field="4294967294" count="1" selected="0">
            <x v="0"/>
          </reference>
          <reference field="5" count="1" selected="0">
            <x v="1"/>
          </reference>
        </references>
      </pivotArea>
    </chartFormat>
    <chartFormat chart="10" format="10">
      <pivotArea type="data" outline="0" fieldPosition="0">
        <references count="2">
          <reference field="4294967294" count="1" selected="0">
            <x v="0"/>
          </reference>
          <reference field="5" count="1" selected="0">
            <x v="2"/>
          </reference>
        </references>
      </pivotArea>
    </chartFormat>
    <chartFormat chart="10" format="11">
      <pivotArea type="data" outline="0" fieldPosition="0">
        <references count="2">
          <reference field="4294967294" count="1" selected="0">
            <x v="0"/>
          </reference>
          <reference field="5" count="1" selected="0">
            <x v="3"/>
          </reference>
        </references>
      </pivotArea>
    </chartFormat>
    <chartFormat chart="10" format="12">
      <pivotArea type="data" outline="0" fieldPosition="0">
        <references count="2">
          <reference field="4294967294" count="1" selected="0">
            <x v="0"/>
          </reference>
          <reference field="5" count="1" selected="0">
            <x v="4"/>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363B42E-69EB-4155-87BC-770DBF4A091C}" name="PivotTable7"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Gender">
  <location ref="A17:G23" firstHeaderRow="1" firstDataRow="2" firstDataCol="1"/>
  <pivotFields count="20">
    <pivotField showAll="0"/>
    <pivotField showAll="0"/>
    <pivotField showAll="0"/>
    <pivotField showAll="0"/>
    <pivotField axis="axisCol" showAll="0">
      <items count="6">
        <item x="0"/>
        <item x="1"/>
        <item x="3"/>
        <item x="4"/>
        <item x="2"/>
        <item t="default"/>
      </items>
    </pivotField>
    <pivotField showAll="0">
      <items count="6">
        <item x="4"/>
        <item x="1"/>
        <item x="0"/>
        <item x="3"/>
        <item x="2"/>
        <item t="default"/>
      </items>
    </pivotField>
    <pivotField showAll="0"/>
    <pivotField showAll="0"/>
    <pivotField showAll="0"/>
    <pivotField showAll="0"/>
    <pivotField showAll="0"/>
    <pivotField dataField="1" numFmtId="166" showAll="0"/>
    <pivotField numFmtId="167" showAll="0"/>
    <pivotField showAll="0"/>
    <pivotField showAll="0"/>
    <pivotField axis="axisRow" showAll="0">
      <items count="5">
        <item x="3"/>
        <item x="2"/>
        <item x="1"/>
        <item x="0"/>
        <item t="default"/>
      </items>
    </pivotField>
    <pivotField numFmtId="14" showAll="0"/>
    <pivotField numFmtId="22" showAll="0"/>
    <pivotField showAll="0"/>
    <pivotField showAll="0"/>
  </pivotFields>
  <rowFields count="1">
    <field x="15"/>
  </rowFields>
  <rowItems count="5">
    <i>
      <x/>
    </i>
    <i>
      <x v="1"/>
    </i>
    <i>
      <x v="2"/>
    </i>
    <i>
      <x v="3"/>
    </i>
    <i t="grand">
      <x/>
    </i>
  </rowItems>
  <colFields count="1">
    <field x="4"/>
  </colFields>
  <colItems count="6">
    <i>
      <x/>
    </i>
    <i>
      <x v="1"/>
    </i>
    <i>
      <x v="2"/>
    </i>
    <i>
      <x v="3"/>
    </i>
    <i>
      <x v="4"/>
    </i>
    <i t="grand">
      <x/>
    </i>
  </colItems>
  <dataFields count="1">
    <dataField name="Average of Salary2" fld="11" subtotal="average" baseField="15" baseItem="0" numFmtId="165"/>
  </dataFields>
  <formats count="31">
    <format dxfId="89">
      <pivotArea outline="0" collapsedLevelsAreSubtotals="1" fieldPosition="0"/>
    </format>
    <format dxfId="88">
      <pivotArea type="all" dataOnly="0" outline="0" fieldPosition="0"/>
    </format>
    <format dxfId="87">
      <pivotArea outline="0" collapsedLevelsAreSubtotals="1" fieldPosition="0"/>
    </format>
    <format dxfId="86">
      <pivotArea type="origin" dataOnly="0" labelOnly="1" outline="0" fieldPosition="0"/>
    </format>
    <format dxfId="85">
      <pivotArea field="4" type="button" dataOnly="0" labelOnly="1" outline="0" axis="axisCol" fieldPosition="0"/>
    </format>
    <format dxfId="84">
      <pivotArea type="topRight" dataOnly="0" labelOnly="1" outline="0" fieldPosition="0"/>
    </format>
    <format dxfId="83">
      <pivotArea field="15" type="button" dataOnly="0" labelOnly="1" outline="0" axis="axisRow" fieldPosition="0"/>
    </format>
    <format dxfId="82">
      <pivotArea dataOnly="0" labelOnly="1" fieldPosition="0">
        <references count="1">
          <reference field="15" count="0"/>
        </references>
      </pivotArea>
    </format>
    <format dxfId="81">
      <pivotArea dataOnly="0" labelOnly="1" grandRow="1" outline="0" fieldPosition="0"/>
    </format>
    <format dxfId="80">
      <pivotArea dataOnly="0" labelOnly="1" fieldPosition="0">
        <references count="1">
          <reference field="4" count="0"/>
        </references>
      </pivotArea>
    </format>
    <format dxfId="79">
      <pivotArea dataOnly="0" labelOnly="1" grandCol="1" outline="0" fieldPosition="0"/>
    </format>
    <format dxfId="78">
      <pivotArea type="all" dataOnly="0" outline="0" fieldPosition="0"/>
    </format>
    <format dxfId="77">
      <pivotArea outline="0" collapsedLevelsAreSubtotals="1" fieldPosition="0"/>
    </format>
    <format dxfId="76">
      <pivotArea type="origin" dataOnly="0" labelOnly="1" outline="0" fieldPosition="0"/>
    </format>
    <format dxfId="75">
      <pivotArea field="4" type="button" dataOnly="0" labelOnly="1" outline="0" axis="axisCol" fieldPosition="0"/>
    </format>
    <format dxfId="74">
      <pivotArea type="topRight" dataOnly="0" labelOnly="1" outline="0" fieldPosition="0"/>
    </format>
    <format dxfId="73">
      <pivotArea field="15" type="button" dataOnly="0" labelOnly="1" outline="0" axis="axisRow" fieldPosition="0"/>
    </format>
    <format dxfId="72">
      <pivotArea dataOnly="0" labelOnly="1" fieldPosition="0">
        <references count="1">
          <reference field="15" count="0"/>
        </references>
      </pivotArea>
    </format>
    <format dxfId="71">
      <pivotArea dataOnly="0" labelOnly="1" grandRow="1" outline="0" fieldPosition="0"/>
    </format>
    <format dxfId="70">
      <pivotArea dataOnly="0" labelOnly="1" fieldPosition="0">
        <references count="1">
          <reference field="4" count="0"/>
        </references>
      </pivotArea>
    </format>
    <format dxfId="69">
      <pivotArea dataOnly="0" labelOnly="1" grandCol="1" outline="0" fieldPosition="0"/>
    </format>
    <format dxfId="68">
      <pivotArea type="all" dataOnly="0" outline="0" fieldPosition="0"/>
    </format>
    <format dxfId="67">
      <pivotArea outline="0" collapsedLevelsAreSubtotals="1" fieldPosition="0"/>
    </format>
    <format dxfId="66">
      <pivotArea type="origin" dataOnly="0" labelOnly="1" outline="0" fieldPosition="0"/>
    </format>
    <format dxfId="65">
      <pivotArea field="4" type="button" dataOnly="0" labelOnly="1" outline="0" axis="axisCol" fieldPosition="0"/>
    </format>
    <format dxfId="64">
      <pivotArea type="topRight" dataOnly="0" labelOnly="1" outline="0" fieldPosition="0"/>
    </format>
    <format dxfId="63">
      <pivotArea field="15" type="button" dataOnly="0" labelOnly="1" outline="0" axis="axisRow" fieldPosition="0"/>
    </format>
    <format dxfId="62">
      <pivotArea dataOnly="0" labelOnly="1" fieldPosition="0">
        <references count="1">
          <reference field="15" count="0"/>
        </references>
      </pivotArea>
    </format>
    <format dxfId="61">
      <pivotArea dataOnly="0" labelOnly="1" grandRow="1" outline="0" fieldPosition="0"/>
    </format>
    <format dxfId="60">
      <pivotArea dataOnly="0" labelOnly="1" fieldPosition="0">
        <references count="1">
          <reference field="4" count="0"/>
        </references>
      </pivotArea>
    </format>
    <format dxfId="59">
      <pivotArea dataOnly="0" labelOnly="1" grandCol="1" outline="0" fieldPosition="0"/>
    </format>
  </formats>
  <conditionalFormats count="1">
    <conditionalFormat priority="6">
      <pivotAreas count="1">
        <pivotArea type="data" collapsedLevelsAreSubtotals="1" fieldPosition="0">
          <references count="2">
            <reference field="4294967294" count="1" selected="0">
              <x v="0"/>
            </reference>
            <reference field="15" count="4">
              <x v="0"/>
              <x v="1"/>
              <x v="2"/>
              <x v="3"/>
            </reference>
          </references>
        </pivotArea>
      </pivotAreas>
    </conditionalFormat>
  </conditionalFormats>
  <chartFormats count="6">
    <chartFormat chart="2" format="10" series="1">
      <pivotArea type="data" outline="0" fieldPosition="0">
        <references count="2">
          <reference field="4294967294" count="1" selected="0">
            <x v="0"/>
          </reference>
          <reference field="4" count="1" selected="0">
            <x v="0"/>
          </reference>
        </references>
      </pivotArea>
    </chartFormat>
    <chartFormat chart="2" format="11" series="1">
      <pivotArea type="data" outline="0" fieldPosition="0">
        <references count="2">
          <reference field="4294967294" count="1" selected="0">
            <x v="0"/>
          </reference>
          <reference field="4" count="1" selected="0">
            <x v="1"/>
          </reference>
        </references>
      </pivotArea>
    </chartFormat>
    <chartFormat chart="2" format="12" series="1">
      <pivotArea type="data" outline="0" fieldPosition="0">
        <references count="2">
          <reference field="4294967294" count="1" selected="0">
            <x v="0"/>
          </reference>
          <reference field="4" count="1" selected="0">
            <x v="2"/>
          </reference>
        </references>
      </pivotArea>
    </chartFormat>
    <chartFormat chart="2" format="13" series="1">
      <pivotArea type="data" outline="0" fieldPosition="0">
        <references count="2">
          <reference field="4294967294" count="1" selected="0">
            <x v="0"/>
          </reference>
          <reference field="4" count="1" selected="0">
            <x v="3"/>
          </reference>
        </references>
      </pivotArea>
    </chartFormat>
    <chartFormat chart="2" format="14" series="1">
      <pivotArea type="data" outline="0" fieldPosition="0">
        <references count="2">
          <reference field="4294967294" count="1" selected="0">
            <x v="0"/>
          </reference>
          <reference field="4" count="1" selected="0">
            <x v="4"/>
          </reference>
        </references>
      </pivotArea>
    </chartFormat>
    <chartFormat chart="2" format="15" series="1">
      <pivotArea type="data" outline="0" fieldPosition="0">
        <references count="1">
          <reference field="4294967294" count="1" selected="0">
            <x v="0"/>
          </reference>
        </references>
      </pivotArea>
    </chartFormat>
  </chartFormats>
  <pivotTableStyleInfo name="PivotStyleDark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3D208FD-522F-4DD4-8879-96BAC1D6606A}" autoFormatId="16" applyNumberFormats="0" applyBorderFormats="0" applyFontFormats="0" applyPatternFormats="0" applyAlignmentFormats="0" applyWidthHeightFormats="0">
  <queryTableRefresh nextId="27" unboundColumnsRight="10">
    <queryTableFields count="21">
      <queryTableField id="1" name="Employee ID" tableColumnId="1"/>
      <queryTableField id="19" dataBound="0" tableColumnId="17"/>
      <queryTableField id="20" dataBound="0" tableColumnId="18"/>
      <queryTableField id="2" name="Name" tableColumnId="2"/>
      <queryTableField id="3" name="Department" tableColumnId="3"/>
      <queryTableField id="4" name="Country" tableColumnId="4"/>
      <queryTableField id="5" name="Salary" tableColumnId="5"/>
      <queryTableField id="6" name="Date of Joining" tableColumnId="6"/>
      <queryTableField id="7" name="Performance Rating" tableColumnId="7"/>
      <queryTableField id="8" name="Gender" tableColumnId="8"/>
      <queryTableField id="9" name="Email" tableColumnId="9"/>
      <queryTableField id="10" dataBound="0" tableColumnId="10"/>
      <queryTableField id="13" dataBound="0" tableColumnId="13"/>
      <queryTableField id="14" dataBound="0" tableColumnId="14"/>
      <queryTableField id="15" dataBound="0" tableColumnId="15"/>
      <queryTableField id="16" dataBound="0" tableColumnId="16"/>
      <queryTableField id="21" dataBound="0" tableColumnId="11"/>
      <queryTableField id="22" dataBound="0" tableColumnId="12"/>
      <queryTableField id="23" dataBound="0" tableColumnId="19"/>
      <queryTableField id="24" dataBound="0" tableColumnId="20"/>
      <queryTableField id="26" dataBound="0"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5901D534-BB36-4EE0-AC59-1DC292833B2D}" sourceName="Department">
  <pivotTables>
    <pivotTable tabId="9" name="PivotTable6"/>
    <pivotTable tabId="9" name="PivotTable5"/>
    <pivotTable tabId="9" name="PivotTable7"/>
    <pivotTable tabId="9" name="PivotTable8"/>
  </pivotTables>
  <data>
    <tabular pivotCacheId="210951486">
      <items count="5">
        <i x="0" s="1"/>
        <i x="1" s="1"/>
        <i x="3"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3E8C3466-EBD3-404B-B5E6-4F748336373D}" sourceName="Country">
  <pivotTables>
    <pivotTable tabId="9" name="PivotTable6"/>
    <pivotTable tabId="9" name="PivotTable5"/>
    <pivotTable tabId="9" name="PivotTable7"/>
    <pivotTable tabId="9" name="PivotTable8"/>
  </pivotTables>
  <data>
    <tabular pivotCacheId="210951486">
      <items count="5">
        <i x="4" s="1"/>
        <i x="1" s="1"/>
        <i x="0"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EB85E318-0727-4664-A910-E8AF8D39E0CB}" sourceName="Gender2">
  <pivotTables>
    <pivotTable tabId="9" name="PivotTable6"/>
    <pivotTable tabId="9" name="PivotTable5"/>
    <pivotTable tabId="9" name="PivotTable7"/>
    <pivotTable tabId="9" name="PivotTable8"/>
  </pivotTables>
  <data>
    <tabular pivotCacheId="210951486">
      <items count="4">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33C1D36C-08E9-4BBD-A262-CF71F73E423B}" cache="Slicer_Department" caption="Department" rowHeight="241300"/>
  <slicer name="Country" xr10:uid="{1B333DF5-75CD-4533-BE2E-58AF53A0A7A8}" cache="Slicer_Country" caption="Country" rowHeight="241300"/>
  <slicer name="Gender2" xr10:uid="{111C1B87-0BAF-4A4B-BB15-0765B592E280}" cache="Slicer_Gender2" caption="Gender2" rowHeight="241300"/>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3B9C425-6D0B-4193-9289-C74FC273EB56}" name="Table2" displayName="Table2" ref="A1:I151" totalsRowShown="0" headerRowDxfId="146" dataDxfId="144" headerRowBorderDxfId="145" tableBorderDxfId="143" totalsRowBorderDxfId="142">
  <tableColumns count="9">
    <tableColumn id="1" xr3:uid="{F250159C-DCF3-44BE-9408-1B12EBAD8863}" name="Employee ID" dataDxfId="141"/>
    <tableColumn id="2" xr3:uid="{D4E6FF39-DE9E-4121-AC45-7E0117E766DC}" name="Name" dataDxfId="140"/>
    <tableColumn id="3" xr3:uid="{F1F1DBCF-F3DB-4F82-AE0C-0E34CC6C8F25}" name="Department" dataDxfId="139"/>
    <tableColumn id="4" xr3:uid="{875E957B-AC13-4222-AE92-BCA1319865A4}" name="Country" dataDxfId="138"/>
    <tableColumn id="5" xr3:uid="{0371AE34-0A1F-4B9E-915F-603214C82693}" name="Salary" dataDxfId="137"/>
    <tableColumn id="6" xr3:uid="{48790BFA-79CE-409D-BC08-9394BAD3381C}" name="Date of Joining" dataDxfId="136"/>
    <tableColumn id="7" xr3:uid="{EFDB86DE-35F4-46AE-8609-781A8F8C184A}" name="Performance Rating" dataDxfId="135"/>
    <tableColumn id="8" xr3:uid="{69B44A31-D6B7-43D3-A57C-9AB737B0DCF7}" name="Gender" dataDxfId="134"/>
    <tableColumn id="9" xr3:uid="{FCD3118C-FD99-4027-99D3-49AC8907B94F}" name="Email" dataDxfId="133"/>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6AB554F-CF75-4E00-92C5-9E8402D42CE7}" name="Table1" displayName="Table1" ref="A1:I151" totalsRowShown="0" headerRowDxfId="132" headerRowBorderDxfId="131" tableBorderDxfId="130" totalsRowBorderDxfId="129">
  <tableColumns count="9">
    <tableColumn id="1" xr3:uid="{7AFFCD28-3D68-43F2-8068-D02C2415080D}" name="Employee ID" dataDxfId="128"/>
    <tableColumn id="2" xr3:uid="{4D098C35-7C83-4C0B-8649-DF6C077F7516}" name="Name" dataDxfId="127"/>
    <tableColumn id="3" xr3:uid="{88123662-7EE0-4EB0-957C-B9702099B74F}" name="Department" dataDxfId="126"/>
    <tableColumn id="4" xr3:uid="{58543BBA-1381-470A-8E62-7E1AC182556E}" name="Country" dataDxfId="125"/>
    <tableColumn id="5" xr3:uid="{DB9EDD89-EF3B-4086-8FE2-74BCCD227C2D}" name="Salary" dataDxfId="124"/>
    <tableColumn id="6" xr3:uid="{6DFE3279-F060-4B27-8C9E-FEF5C863939B}" name="Date of Joining" dataDxfId="123"/>
    <tableColumn id="7" xr3:uid="{A08A414A-8AC4-460B-A930-79D8B4AC62BC}" name="Performance Rating" dataDxfId="122"/>
    <tableColumn id="8" xr3:uid="{59603019-4852-41DC-9991-F31A2BC61C7E}" name="Gender" dataDxfId="121"/>
    <tableColumn id="9" xr3:uid="{4A5A1D14-EB1C-48AA-ACB7-E066203516A6}" name="Email" dataDxfId="120"/>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7ED7892-B1BA-4794-87B9-CB6943C4A335}" name="Table1_2" displayName="Table1_2" ref="A1:U151" tableType="queryTable" totalsRowShown="0" dataDxfId="111">
  <tableColumns count="21">
    <tableColumn id="1" xr3:uid="{0842ABB7-AF5B-401F-9775-BDF9BCC47C1B}" uniqueName="1" name="Employee ID" queryTableFieldId="1" dataDxfId="110"/>
    <tableColumn id="17" xr3:uid="{FE898AE5-3D12-4F7C-831F-A5C40624CE9E}" uniqueName="17" name="Employee ID2" queryTableFieldId="19" dataDxfId="109"/>
    <tableColumn id="18" xr3:uid="{7D10BE74-1E62-4B19-A73C-DEDF7FF35815}" uniqueName="18" name="Employee ID3" queryTableFieldId="20" dataDxfId="108"/>
    <tableColumn id="2" xr3:uid="{949C528B-CDEB-4DBE-9EA3-02A92F7E1C58}" uniqueName="2" name="Name" queryTableFieldId="2" dataDxfId="107"/>
    <tableColumn id="3" xr3:uid="{589F6203-4BB5-4E75-B66A-284250920F07}" uniqueName="3" name="Department" queryTableFieldId="3" dataDxfId="106"/>
    <tableColumn id="4" xr3:uid="{CB206754-51F1-4703-9B17-301194C871AD}" uniqueName="4" name="Country" queryTableFieldId="4" dataDxfId="105"/>
    <tableColumn id="5" xr3:uid="{89CE59A8-ABF6-4594-98AA-FEB69245BE52}" uniqueName="5" name="Salary" queryTableFieldId="5" dataDxfId="104"/>
    <tableColumn id="6" xr3:uid="{EE2DAA2F-E617-4999-BF99-0825BCD3BE2E}" uniqueName="6" name="Date of Joining" queryTableFieldId="6" dataDxfId="103"/>
    <tableColumn id="7" xr3:uid="{EBA5F4D1-01E1-442F-A370-25E8835A9498}" uniqueName="7" name="Performance Rating" queryTableFieldId="7" dataDxfId="102"/>
    <tableColumn id="8" xr3:uid="{29ED7F5D-8862-4565-8319-78621016F228}" uniqueName="8" name="Gender" queryTableFieldId="8" dataDxfId="101"/>
    <tableColumn id="9" xr3:uid="{29C1AF3C-7CA8-47AF-850E-FFE51269E82C}" uniqueName="9" name="Email" queryTableFieldId="9" dataDxfId="100"/>
    <tableColumn id="10" xr3:uid="{7B070A67-F265-4BE0-ADAF-4B9B73D81893}" uniqueName="10" name="Salary2" queryTableFieldId="10" dataDxfId="99" dataCellStyle="Currency"/>
    <tableColumn id="13" xr3:uid="{B3ED8A0E-1914-4F0A-A8AF-FDCCD36057DD}" uniqueName="13" name="Date of Joining2" queryTableFieldId="13" dataDxfId="98"/>
    <tableColumn id="14" xr3:uid="{466203E1-6ECA-4076-84F5-115D41F080AC}" uniqueName="14" name="Performance Rating2" queryTableFieldId="14" dataDxfId="97"/>
    <tableColumn id="15" xr3:uid="{E97443EC-0713-4A11-97AC-9652EC3E2487}" uniqueName="15" name="Performance Rating22" queryTableFieldId="15" dataDxfId="96"/>
    <tableColumn id="16" xr3:uid="{0B55B171-26ED-43DE-BD82-96F901AD06E6}" uniqueName="16" name="Gender2" queryTableFieldId="16" dataDxfId="95"/>
    <tableColumn id="11" xr3:uid="{E0BCAD53-D097-4B4E-8431-C3FAD590F231}" uniqueName="11" name="Today" queryTableFieldId="21" dataDxfId="94"/>
    <tableColumn id="12" xr3:uid="{9EA7E9B2-3D88-4C91-ABE7-D65BD2A170D6}" uniqueName="12" name="Now" queryTableFieldId="22" dataDxfId="93"/>
    <tableColumn id="19" xr3:uid="{6457CE93-A827-4B62-B960-674AAE6ED557}" uniqueName="19" name="Date of Joining Year" queryTableFieldId="23" dataDxfId="92"/>
    <tableColumn id="20" xr3:uid="{2C0C7198-0C01-4309-9F8C-DFEAADF73963}" uniqueName="20" name="Date of Joining Month" queryTableFieldId="24" dataDxfId="91"/>
    <tableColumn id="21" xr3:uid="{5EF6D239-6164-4052-8CA3-3619534D5264}" uniqueName="21" name="No of salaried" queryTableFieldId="26" dataDxfId="90">
      <calculatedColumnFormula>COUNTIF(Table1_2[Country],Table1_2[Country])</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51"/>
  <sheetViews>
    <sheetView workbookViewId="0"/>
  </sheetViews>
  <sheetFormatPr defaultRowHeight="14.5" x14ac:dyDescent="0.35"/>
  <cols>
    <col min="1" max="1" width="13.26953125" customWidth="1"/>
    <col min="2" max="2" width="11.453125" bestFit="1" customWidth="1"/>
    <col min="3" max="3" width="13.08984375" customWidth="1"/>
    <col min="4" max="4" width="9.54296875" customWidth="1"/>
    <col min="5" max="5" width="7.81640625" style="3" customWidth="1"/>
    <col min="6" max="6" width="17.81640625" bestFit="1" customWidth="1"/>
    <col min="7" max="7" width="19.36328125" customWidth="1"/>
    <col min="8" max="8" width="9" customWidth="1"/>
    <col min="9" max="9" width="20.6328125" bestFit="1" customWidth="1"/>
  </cols>
  <sheetData>
    <row r="1" spans="1:9" x14ac:dyDescent="0.35">
      <c r="A1" s="5" t="s">
        <v>0</v>
      </c>
      <c r="B1" s="6" t="s">
        <v>1</v>
      </c>
      <c r="C1" s="6" t="s">
        <v>2</v>
      </c>
      <c r="D1" s="6" t="s">
        <v>3</v>
      </c>
      <c r="E1" s="6" t="s">
        <v>4</v>
      </c>
      <c r="F1" s="6" t="s">
        <v>5</v>
      </c>
      <c r="G1" s="6" t="s">
        <v>6</v>
      </c>
      <c r="H1" s="6" t="s">
        <v>7</v>
      </c>
      <c r="I1" s="11" t="s">
        <v>8</v>
      </c>
    </row>
    <row r="2" spans="1:9" x14ac:dyDescent="0.35">
      <c r="A2" s="4" t="s">
        <v>9</v>
      </c>
      <c r="B2" s="1"/>
      <c r="C2" s="1" t="s">
        <v>166</v>
      </c>
      <c r="D2" s="1" t="s">
        <v>171</v>
      </c>
      <c r="E2" s="1" t="s">
        <v>177</v>
      </c>
      <c r="F2" s="1"/>
      <c r="G2" s="1">
        <v>2</v>
      </c>
      <c r="H2" s="1" t="s">
        <v>178</v>
      </c>
      <c r="I2" s="10" t="s">
        <v>182</v>
      </c>
    </row>
    <row r="3" spans="1:9" x14ac:dyDescent="0.35">
      <c r="A3" s="4" t="s">
        <v>10</v>
      </c>
      <c r="B3" s="1" t="s">
        <v>159</v>
      </c>
      <c r="C3" s="1" t="s">
        <v>167</v>
      </c>
      <c r="D3" s="1" t="s">
        <v>172</v>
      </c>
      <c r="E3" s="1">
        <v>54255</v>
      </c>
      <c r="F3" s="2">
        <v>42015</v>
      </c>
      <c r="G3" s="1">
        <v>1</v>
      </c>
      <c r="H3" s="1" t="s">
        <v>179</v>
      </c>
      <c r="I3" s="10" t="s">
        <v>183</v>
      </c>
    </row>
    <row r="4" spans="1:9" x14ac:dyDescent="0.35">
      <c r="A4" s="4" t="s">
        <v>11</v>
      </c>
      <c r="B4" s="1" t="s">
        <v>160</v>
      </c>
      <c r="C4" s="1" t="s">
        <v>166</v>
      </c>
      <c r="D4" s="1" t="s">
        <v>172</v>
      </c>
      <c r="E4" s="1">
        <v>63184</v>
      </c>
      <c r="F4" s="2">
        <v>42022</v>
      </c>
      <c r="G4" s="1">
        <v>2</v>
      </c>
      <c r="H4" s="1"/>
      <c r="I4" s="10" t="s">
        <v>184</v>
      </c>
    </row>
    <row r="5" spans="1:9" x14ac:dyDescent="0.35">
      <c r="A5" s="4" t="s">
        <v>12</v>
      </c>
      <c r="B5" s="1" t="s">
        <v>161</v>
      </c>
      <c r="C5" s="1" t="s">
        <v>168</v>
      </c>
      <c r="D5" s="1" t="s">
        <v>173</v>
      </c>
      <c r="E5" s="1">
        <v>94406</v>
      </c>
      <c r="F5" s="2">
        <v>42029</v>
      </c>
      <c r="G5" s="1">
        <v>1</v>
      </c>
      <c r="H5" s="1" t="s">
        <v>180</v>
      </c>
      <c r="I5" s="10" t="s">
        <v>185</v>
      </c>
    </row>
    <row r="6" spans="1:9" x14ac:dyDescent="0.35">
      <c r="A6" s="4" t="s">
        <v>13</v>
      </c>
      <c r="B6" s="1" t="s">
        <v>162</v>
      </c>
      <c r="C6" s="1" t="s">
        <v>168</v>
      </c>
      <c r="D6" s="1" t="s">
        <v>172</v>
      </c>
      <c r="E6" s="1">
        <v>64120</v>
      </c>
      <c r="F6" s="2">
        <v>42036</v>
      </c>
      <c r="G6" s="1">
        <v>1</v>
      </c>
      <c r="H6" s="1" t="s">
        <v>180</v>
      </c>
      <c r="I6" s="10" t="s">
        <v>186</v>
      </c>
    </row>
    <row r="7" spans="1:9" x14ac:dyDescent="0.35">
      <c r="A7" s="4" t="s">
        <v>14</v>
      </c>
      <c r="B7" s="1" t="s">
        <v>160</v>
      </c>
      <c r="C7" s="1" t="s">
        <v>169</v>
      </c>
      <c r="D7" s="1" t="s">
        <v>174</v>
      </c>
      <c r="E7" s="1">
        <v>78421</v>
      </c>
      <c r="F7" s="2">
        <v>42043</v>
      </c>
      <c r="G7" s="1">
        <v>2</v>
      </c>
      <c r="H7" s="1" t="s">
        <v>181</v>
      </c>
      <c r="I7" s="10" t="s">
        <v>187</v>
      </c>
    </row>
    <row r="8" spans="1:9" x14ac:dyDescent="0.35">
      <c r="A8" s="4" t="s">
        <v>15</v>
      </c>
      <c r="B8" s="1" t="s">
        <v>163</v>
      </c>
      <c r="C8" s="1" t="s">
        <v>168</v>
      </c>
      <c r="D8" s="1"/>
      <c r="E8" s="1">
        <v>67721</v>
      </c>
      <c r="F8" s="2">
        <v>42050</v>
      </c>
      <c r="G8" s="1"/>
      <c r="H8" s="1" t="s">
        <v>180</v>
      </c>
      <c r="I8" s="10" t="s">
        <v>185</v>
      </c>
    </row>
    <row r="9" spans="1:9" x14ac:dyDescent="0.35">
      <c r="A9" s="4" t="s">
        <v>16</v>
      </c>
      <c r="B9" s="1" t="s">
        <v>164</v>
      </c>
      <c r="C9" s="1" t="s">
        <v>170</v>
      </c>
      <c r="D9" s="1"/>
      <c r="E9" s="1">
        <v>35364</v>
      </c>
      <c r="F9" s="2">
        <v>42057</v>
      </c>
      <c r="G9" s="1">
        <v>2</v>
      </c>
      <c r="H9" s="1" t="s">
        <v>179</v>
      </c>
      <c r="I9" s="10" t="s">
        <v>188</v>
      </c>
    </row>
    <row r="10" spans="1:9" x14ac:dyDescent="0.35">
      <c r="A10" s="4" t="s">
        <v>17</v>
      </c>
      <c r="B10" s="1" t="s">
        <v>160</v>
      </c>
      <c r="C10" s="1" t="s">
        <v>169</v>
      </c>
      <c r="D10" s="1" t="s">
        <v>172</v>
      </c>
      <c r="E10" s="1">
        <v>97881</v>
      </c>
      <c r="F10" s="2">
        <v>42064</v>
      </c>
      <c r="G10" s="1"/>
      <c r="H10" s="1" t="s">
        <v>181</v>
      </c>
      <c r="I10" s="10" t="s">
        <v>189</v>
      </c>
    </row>
    <row r="11" spans="1:9" x14ac:dyDescent="0.35">
      <c r="A11" s="4" t="s">
        <v>18</v>
      </c>
      <c r="B11" s="1" t="s">
        <v>164</v>
      </c>
      <c r="C11" s="1" t="s">
        <v>167</v>
      </c>
      <c r="D11" s="1" t="s">
        <v>175</v>
      </c>
      <c r="E11" s="1">
        <v>91846</v>
      </c>
      <c r="F11" s="2">
        <v>42071</v>
      </c>
      <c r="G11" s="1"/>
      <c r="H11" s="1" t="s">
        <v>180</v>
      </c>
      <c r="I11" s="10" t="s">
        <v>190</v>
      </c>
    </row>
    <row r="12" spans="1:9" x14ac:dyDescent="0.35">
      <c r="A12" s="4" t="s">
        <v>19</v>
      </c>
      <c r="B12" s="1" t="s">
        <v>163</v>
      </c>
      <c r="C12" s="1" t="s">
        <v>166</v>
      </c>
      <c r="D12" s="1" t="s">
        <v>175</v>
      </c>
      <c r="E12" s="1">
        <v>64247</v>
      </c>
      <c r="F12" s="2">
        <v>42078</v>
      </c>
      <c r="G12" s="1">
        <v>1</v>
      </c>
      <c r="H12" s="1" t="s">
        <v>181</v>
      </c>
      <c r="I12" s="10" t="s">
        <v>191</v>
      </c>
    </row>
    <row r="13" spans="1:9" x14ac:dyDescent="0.35">
      <c r="A13" s="4" t="s">
        <v>20</v>
      </c>
      <c r="B13" s="1" t="s">
        <v>163</v>
      </c>
      <c r="C13" s="1" t="s">
        <v>169</v>
      </c>
      <c r="D13" s="1" t="s">
        <v>173</v>
      </c>
      <c r="E13" s="1">
        <v>91180</v>
      </c>
      <c r="F13" s="2">
        <v>42085</v>
      </c>
      <c r="G13" s="1">
        <v>5</v>
      </c>
      <c r="H13" s="1" t="s">
        <v>180</v>
      </c>
      <c r="I13" s="10" t="s">
        <v>192</v>
      </c>
    </row>
    <row r="14" spans="1:9" x14ac:dyDescent="0.35">
      <c r="A14" s="4" t="s">
        <v>21</v>
      </c>
      <c r="B14" s="1" t="s">
        <v>165</v>
      </c>
      <c r="C14" s="1" t="s">
        <v>168</v>
      </c>
      <c r="D14" s="1"/>
      <c r="E14" s="1">
        <v>96418</v>
      </c>
      <c r="F14" s="2">
        <v>42092</v>
      </c>
      <c r="G14" s="1">
        <v>5</v>
      </c>
      <c r="H14" s="1" t="s">
        <v>180</v>
      </c>
      <c r="I14" s="10" t="s">
        <v>183</v>
      </c>
    </row>
    <row r="15" spans="1:9" x14ac:dyDescent="0.35">
      <c r="A15" s="4" t="s">
        <v>22</v>
      </c>
      <c r="B15" s="1" t="s">
        <v>163</v>
      </c>
      <c r="C15" s="1"/>
      <c r="D15" s="1" t="s">
        <v>174</v>
      </c>
      <c r="E15" s="1">
        <v>62158</v>
      </c>
      <c r="F15" s="2">
        <v>42099</v>
      </c>
      <c r="G15" s="1">
        <v>4</v>
      </c>
      <c r="H15" s="1"/>
      <c r="I15" s="10" t="s">
        <v>193</v>
      </c>
    </row>
    <row r="16" spans="1:9" x14ac:dyDescent="0.35">
      <c r="A16" s="4" t="s">
        <v>23</v>
      </c>
      <c r="B16" s="1" t="s">
        <v>162</v>
      </c>
      <c r="C16" s="1" t="s">
        <v>167</v>
      </c>
      <c r="D16" s="1"/>
      <c r="E16" s="1">
        <v>59894</v>
      </c>
      <c r="F16" s="2">
        <v>42106</v>
      </c>
      <c r="G16" s="1">
        <v>2</v>
      </c>
      <c r="H16" s="1" t="s">
        <v>180</v>
      </c>
      <c r="I16" s="10" t="s">
        <v>194</v>
      </c>
    </row>
    <row r="17" spans="1:9" x14ac:dyDescent="0.35">
      <c r="A17" s="4" t="s">
        <v>24</v>
      </c>
      <c r="B17" s="1"/>
      <c r="C17" s="1" t="s">
        <v>169</v>
      </c>
      <c r="D17" s="1" t="s">
        <v>174</v>
      </c>
      <c r="E17" s="1">
        <v>92443</v>
      </c>
      <c r="F17" s="2">
        <v>42113</v>
      </c>
      <c r="G17" s="1">
        <v>3</v>
      </c>
      <c r="H17" s="1" t="s">
        <v>179</v>
      </c>
      <c r="I17" s="10" t="s">
        <v>195</v>
      </c>
    </row>
    <row r="18" spans="1:9" x14ac:dyDescent="0.35">
      <c r="A18" s="4" t="s">
        <v>25</v>
      </c>
      <c r="B18" s="1" t="s">
        <v>165</v>
      </c>
      <c r="C18" s="1"/>
      <c r="D18" s="1" t="s">
        <v>172</v>
      </c>
      <c r="E18" s="1">
        <v>90271</v>
      </c>
      <c r="F18" s="2">
        <v>42120</v>
      </c>
      <c r="G18" s="1"/>
      <c r="H18" s="1"/>
      <c r="I18" s="10" t="s">
        <v>196</v>
      </c>
    </row>
    <row r="19" spans="1:9" x14ac:dyDescent="0.35">
      <c r="A19" s="4" t="s">
        <v>26</v>
      </c>
      <c r="B19" s="1" t="s">
        <v>162</v>
      </c>
      <c r="C19" s="1" t="s">
        <v>166</v>
      </c>
      <c r="D19" s="1" t="s">
        <v>176</v>
      </c>
      <c r="E19" s="1">
        <v>41341</v>
      </c>
      <c r="F19" s="2">
        <v>42127</v>
      </c>
      <c r="G19" s="1">
        <v>1</v>
      </c>
      <c r="H19" s="1" t="s">
        <v>179</v>
      </c>
      <c r="I19" s="10" t="s">
        <v>197</v>
      </c>
    </row>
    <row r="20" spans="1:9" x14ac:dyDescent="0.35">
      <c r="A20" s="4" t="s">
        <v>27</v>
      </c>
      <c r="B20" s="1" t="s">
        <v>160</v>
      </c>
      <c r="C20" s="1" t="s">
        <v>166</v>
      </c>
      <c r="D20" s="1" t="s">
        <v>175</v>
      </c>
      <c r="E20" s="1">
        <v>73602</v>
      </c>
      <c r="F20" s="2">
        <v>42134</v>
      </c>
      <c r="G20" s="1"/>
      <c r="H20" s="1"/>
      <c r="I20" s="10" t="s">
        <v>198</v>
      </c>
    </row>
    <row r="21" spans="1:9" x14ac:dyDescent="0.35">
      <c r="A21" s="4" t="s">
        <v>28</v>
      </c>
      <c r="B21" s="1" t="s">
        <v>159</v>
      </c>
      <c r="C21" s="1"/>
      <c r="D21" s="1" t="s">
        <v>174</v>
      </c>
      <c r="E21" s="1">
        <v>67531</v>
      </c>
      <c r="F21" s="2">
        <v>42141</v>
      </c>
      <c r="G21" s="1">
        <v>5</v>
      </c>
      <c r="H21" s="1" t="s">
        <v>181</v>
      </c>
      <c r="I21" s="10" t="s">
        <v>199</v>
      </c>
    </row>
    <row r="22" spans="1:9" x14ac:dyDescent="0.35">
      <c r="A22" s="4" t="s">
        <v>29</v>
      </c>
      <c r="B22" s="1" t="s">
        <v>162</v>
      </c>
      <c r="C22" s="1" t="s">
        <v>167</v>
      </c>
      <c r="D22" s="1" t="s">
        <v>173</v>
      </c>
      <c r="E22" s="1" t="s">
        <v>177</v>
      </c>
      <c r="F22" s="2">
        <v>42148</v>
      </c>
      <c r="G22" s="1">
        <v>2</v>
      </c>
      <c r="H22" s="1" t="s">
        <v>179</v>
      </c>
      <c r="I22" s="10" t="s">
        <v>200</v>
      </c>
    </row>
    <row r="23" spans="1:9" x14ac:dyDescent="0.35">
      <c r="A23" s="4" t="s">
        <v>30</v>
      </c>
      <c r="B23" s="1" t="s">
        <v>162</v>
      </c>
      <c r="C23" s="1" t="s">
        <v>167</v>
      </c>
      <c r="D23" s="1"/>
      <c r="E23" s="1">
        <v>98922</v>
      </c>
      <c r="F23" s="2">
        <v>42155</v>
      </c>
      <c r="G23" s="1">
        <v>4</v>
      </c>
      <c r="H23" s="1"/>
      <c r="I23" s="10" t="s">
        <v>201</v>
      </c>
    </row>
    <row r="24" spans="1:9" x14ac:dyDescent="0.35">
      <c r="A24" s="4" t="s">
        <v>31</v>
      </c>
      <c r="B24" s="1" t="s">
        <v>159</v>
      </c>
      <c r="C24" s="1" t="s">
        <v>166</v>
      </c>
      <c r="D24" s="1" t="s">
        <v>174</v>
      </c>
      <c r="E24" s="1">
        <v>38333</v>
      </c>
      <c r="F24" s="2">
        <v>42162</v>
      </c>
      <c r="G24" s="1">
        <v>5</v>
      </c>
      <c r="H24" s="1"/>
      <c r="I24" s="10" t="s">
        <v>202</v>
      </c>
    </row>
    <row r="25" spans="1:9" x14ac:dyDescent="0.35">
      <c r="A25" s="4" t="s">
        <v>32</v>
      </c>
      <c r="B25" s="1" t="s">
        <v>160</v>
      </c>
      <c r="C25" s="1" t="s">
        <v>170</v>
      </c>
      <c r="D25" s="1" t="s">
        <v>175</v>
      </c>
      <c r="E25" s="1">
        <v>36515</v>
      </c>
      <c r="F25" s="2">
        <v>42169</v>
      </c>
      <c r="G25" s="1">
        <v>3</v>
      </c>
      <c r="H25" s="1" t="s">
        <v>180</v>
      </c>
      <c r="I25" s="10" t="s">
        <v>203</v>
      </c>
    </row>
    <row r="26" spans="1:9" x14ac:dyDescent="0.35">
      <c r="A26" s="4" t="s">
        <v>33</v>
      </c>
      <c r="B26" s="1" t="s">
        <v>163</v>
      </c>
      <c r="C26" s="1" t="s">
        <v>166</v>
      </c>
      <c r="D26" s="1"/>
      <c r="E26" s="1">
        <v>91005</v>
      </c>
      <c r="F26" s="2">
        <v>42176</v>
      </c>
      <c r="G26" s="1">
        <v>1</v>
      </c>
      <c r="H26" s="1" t="s">
        <v>179</v>
      </c>
      <c r="I26" s="10" t="s">
        <v>204</v>
      </c>
    </row>
    <row r="27" spans="1:9" x14ac:dyDescent="0.35">
      <c r="A27" s="4" t="s">
        <v>34</v>
      </c>
      <c r="B27" s="1" t="s">
        <v>164</v>
      </c>
      <c r="C27" s="1"/>
      <c r="D27" s="1" t="s">
        <v>171</v>
      </c>
      <c r="E27" s="1">
        <v>52272</v>
      </c>
      <c r="F27" s="2">
        <v>42183</v>
      </c>
      <c r="G27" s="1">
        <v>3</v>
      </c>
      <c r="H27" s="1"/>
      <c r="I27" s="10" t="s">
        <v>205</v>
      </c>
    </row>
    <row r="28" spans="1:9" x14ac:dyDescent="0.35">
      <c r="A28" s="4" t="s">
        <v>35</v>
      </c>
      <c r="B28" s="1" t="s">
        <v>159</v>
      </c>
      <c r="C28" s="1" t="s">
        <v>168</v>
      </c>
      <c r="D28" s="1" t="s">
        <v>172</v>
      </c>
      <c r="E28" s="1">
        <v>76518</v>
      </c>
      <c r="F28" s="2">
        <v>42190</v>
      </c>
      <c r="G28" s="1">
        <v>2</v>
      </c>
      <c r="H28" s="1" t="s">
        <v>181</v>
      </c>
      <c r="I28" s="10" t="s">
        <v>206</v>
      </c>
    </row>
    <row r="29" spans="1:9" x14ac:dyDescent="0.35">
      <c r="A29" s="4" t="s">
        <v>36</v>
      </c>
      <c r="B29" s="1" t="s">
        <v>160</v>
      </c>
      <c r="C29" s="1" t="s">
        <v>169</v>
      </c>
      <c r="D29" s="1" t="s">
        <v>175</v>
      </c>
      <c r="E29" s="1">
        <v>41448</v>
      </c>
      <c r="F29" s="2">
        <v>42197</v>
      </c>
      <c r="G29" s="1">
        <v>3</v>
      </c>
      <c r="H29" s="1" t="s">
        <v>179</v>
      </c>
      <c r="I29" s="10" t="s">
        <v>207</v>
      </c>
    </row>
    <row r="30" spans="1:9" x14ac:dyDescent="0.35">
      <c r="A30" s="4" t="s">
        <v>37</v>
      </c>
      <c r="B30" s="1" t="s">
        <v>161</v>
      </c>
      <c r="C30" s="1" t="s">
        <v>167</v>
      </c>
      <c r="D30" s="1" t="s">
        <v>175</v>
      </c>
      <c r="E30" s="1">
        <v>49282</v>
      </c>
      <c r="F30" s="2">
        <v>42204</v>
      </c>
      <c r="G30" s="1">
        <v>2</v>
      </c>
      <c r="H30" s="1" t="s">
        <v>181</v>
      </c>
      <c r="I30" s="10" t="s">
        <v>208</v>
      </c>
    </row>
    <row r="31" spans="1:9" x14ac:dyDescent="0.35">
      <c r="A31" s="4" t="s">
        <v>38</v>
      </c>
      <c r="B31" s="1" t="s">
        <v>165</v>
      </c>
      <c r="C31" s="1" t="s">
        <v>170</v>
      </c>
      <c r="D31" s="1" t="s">
        <v>175</v>
      </c>
      <c r="E31" s="1">
        <v>92959</v>
      </c>
      <c r="F31" s="2">
        <v>42211</v>
      </c>
      <c r="G31" s="1">
        <v>5</v>
      </c>
      <c r="H31" s="1"/>
      <c r="I31" s="10" t="s">
        <v>209</v>
      </c>
    </row>
    <row r="32" spans="1:9" x14ac:dyDescent="0.35">
      <c r="A32" s="4" t="s">
        <v>39</v>
      </c>
      <c r="B32" s="1"/>
      <c r="C32" s="1" t="s">
        <v>170</v>
      </c>
      <c r="D32" s="1"/>
      <c r="E32" s="1">
        <v>92259</v>
      </c>
      <c r="F32" s="1"/>
      <c r="G32" s="1">
        <v>1</v>
      </c>
      <c r="H32" s="1" t="s">
        <v>178</v>
      </c>
      <c r="I32" s="10" t="s">
        <v>210</v>
      </c>
    </row>
    <row r="33" spans="1:9" x14ac:dyDescent="0.35">
      <c r="A33" s="4" t="s">
        <v>40</v>
      </c>
      <c r="B33" s="1" t="s">
        <v>159</v>
      </c>
      <c r="C33" s="1" t="s">
        <v>167</v>
      </c>
      <c r="D33" s="1" t="s">
        <v>172</v>
      </c>
      <c r="E33" s="1">
        <v>92299</v>
      </c>
      <c r="F33" s="2">
        <v>42225</v>
      </c>
      <c r="G33" s="1">
        <v>3</v>
      </c>
      <c r="H33" s="1" t="s">
        <v>180</v>
      </c>
      <c r="I33" s="10" t="s">
        <v>211</v>
      </c>
    </row>
    <row r="34" spans="1:9" x14ac:dyDescent="0.35">
      <c r="A34" s="4" t="s">
        <v>41</v>
      </c>
      <c r="B34" s="1" t="s">
        <v>163</v>
      </c>
      <c r="C34" s="1" t="s">
        <v>167</v>
      </c>
      <c r="D34" s="1"/>
      <c r="E34" s="1">
        <v>95586</v>
      </c>
      <c r="F34" s="2">
        <v>42232</v>
      </c>
      <c r="G34" s="1">
        <v>3</v>
      </c>
      <c r="H34" s="1" t="s">
        <v>179</v>
      </c>
      <c r="I34" s="10" t="s">
        <v>212</v>
      </c>
    </row>
    <row r="35" spans="1:9" x14ac:dyDescent="0.35">
      <c r="A35" s="4" t="s">
        <v>42</v>
      </c>
      <c r="B35" s="1" t="s">
        <v>164</v>
      </c>
      <c r="C35" s="1"/>
      <c r="D35" s="1" t="s">
        <v>173</v>
      </c>
      <c r="E35" s="1">
        <v>95367</v>
      </c>
      <c r="F35" s="2">
        <v>42239</v>
      </c>
      <c r="G35" s="1"/>
      <c r="H35" s="1" t="s">
        <v>180</v>
      </c>
      <c r="I35" s="10" t="s">
        <v>213</v>
      </c>
    </row>
    <row r="36" spans="1:9" x14ac:dyDescent="0.35">
      <c r="A36" s="4" t="s">
        <v>43</v>
      </c>
      <c r="B36" s="1" t="s">
        <v>161</v>
      </c>
      <c r="C36" s="1" t="s">
        <v>168</v>
      </c>
      <c r="D36" s="1" t="s">
        <v>176</v>
      </c>
      <c r="E36" s="1">
        <v>79549</v>
      </c>
      <c r="F36" s="2">
        <v>42246</v>
      </c>
      <c r="G36" s="1">
        <v>3</v>
      </c>
      <c r="H36" s="1"/>
      <c r="I36" s="10" t="s">
        <v>214</v>
      </c>
    </row>
    <row r="37" spans="1:9" x14ac:dyDescent="0.35">
      <c r="A37" s="4" t="s">
        <v>44</v>
      </c>
      <c r="B37" s="1" t="s">
        <v>160</v>
      </c>
      <c r="C37" s="1"/>
      <c r="D37" s="1" t="s">
        <v>175</v>
      </c>
      <c r="E37" s="1">
        <v>54463</v>
      </c>
      <c r="F37" s="2">
        <v>42253</v>
      </c>
      <c r="G37" s="1">
        <v>4</v>
      </c>
      <c r="H37" s="1" t="s">
        <v>180</v>
      </c>
      <c r="I37" s="10" t="s">
        <v>182</v>
      </c>
    </row>
    <row r="38" spans="1:9" x14ac:dyDescent="0.35">
      <c r="A38" s="4" t="s">
        <v>45</v>
      </c>
      <c r="B38" s="1" t="s">
        <v>160</v>
      </c>
      <c r="C38" s="1" t="s">
        <v>169</v>
      </c>
      <c r="D38" s="1" t="s">
        <v>173</v>
      </c>
      <c r="E38" s="1">
        <v>89781</v>
      </c>
      <c r="F38" s="2">
        <v>42260</v>
      </c>
      <c r="G38" s="1"/>
      <c r="H38" s="1" t="s">
        <v>181</v>
      </c>
      <c r="I38" s="10" t="s">
        <v>215</v>
      </c>
    </row>
    <row r="39" spans="1:9" x14ac:dyDescent="0.35">
      <c r="A39" s="4" t="s">
        <v>46</v>
      </c>
      <c r="B39" s="1" t="s">
        <v>160</v>
      </c>
      <c r="C39" s="1" t="s">
        <v>167</v>
      </c>
      <c r="D39" s="1"/>
      <c r="E39" s="1">
        <v>64796</v>
      </c>
      <c r="F39" s="2">
        <v>42267</v>
      </c>
      <c r="G39" s="1"/>
      <c r="H39" s="1" t="s">
        <v>179</v>
      </c>
      <c r="I39" s="10" t="s">
        <v>216</v>
      </c>
    </row>
    <row r="40" spans="1:9" x14ac:dyDescent="0.35">
      <c r="A40" s="4" t="s">
        <v>47</v>
      </c>
      <c r="B40" s="1" t="s">
        <v>161</v>
      </c>
      <c r="C40" s="1" t="s">
        <v>170</v>
      </c>
      <c r="D40" s="1" t="s">
        <v>175</v>
      </c>
      <c r="E40" s="1">
        <v>52093</v>
      </c>
      <c r="F40" s="2">
        <v>42274</v>
      </c>
      <c r="G40" s="1">
        <v>5</v>
      </c>
      <c r="H40" s="1"/>
      <c r="I40" s="10" t="s">
        <v>217</v>
      </c>
    </row>
    <row r="41" spans="1:9" x14ac:dyDescent="0.35">
      <c r="A41" s="4" t="s">
        <v>48</v>
      </c>
      <c r="B41" s="1" t="s">
        <v>164</v>
      </c>
      <c r="C41" s="1" t="s">
        <v>167</v>
      </c>
      <c r="D41" s="1" t="s">
        <v>175</v>
      </c>
      <c r="E41" s="1">
        <v>48224</v>
      </c>
      <c r="F41" s="2">
        <v>42281</v>
      </c>
      <c r="G41" s="1">
        <v>3</v>
      </c>
      <c r="H41" s="1"/>
      <c r="I41" s="10" t="s">
        <v>218</v>
      </c>
    </row>
    <row r="42" spans="1:9" x14ac:dyDescent="0.35">
      <c r="A42" s="4" t="s">
        <v>49</v>
      </c>
      <c r="B42" s="1" t="s">
        <v>165</v>
      </c>
      <c r="C42" s="1" t="s">
        <v>166</v>
      </c>
      <c r="D42" s="1" t="s">
        <v>175</v>
      </c>
      <c r="E42" s="1" t="s">
        <v>177</v>
      </c>
      <c r="F42" s="1"/>
      <c r="G42" s="1">
        <v>4</v>
      </c>
      <c r="H42" s="1" t="s">
        <v>181</v>
      </c>
      <c r="I42" s="10" t="s">
        <v>219</v>
      </c>
    </row>
    <row r="43" spans="1:9" x14ac:dyDescent="0.35">
      <c r="A43" s="4" t="s">
        <v>50</v>
      </c>
      <c r="B43" s="1" t="s">
        <v>160</v>
      </c>
      <c r="C43" s="1" t="s">
        <v>169</v>
      </c>
      <c r="D43" s="1" t="s">
        <v>172</v>
      </c>
      <c r="E43" s="1">
        <v>33956</v>
      </c>
      <c r="F43" s="2">
        <v>42295</v>
      </c>
      <c r="G43" s="1"/>
      <c r="H43" s="1"/>
      <c r="I43" s="10" t="s">
        <v>220</v>
      </c>
    </row>
    <row r="44" spans="1:9" x14ac:dyDescent="0.35">
      <c r="A44" s="4" t="s">
        <v>51</v>
      </c>
      <c r="B44" s="1" t="s">
        <v>165</v>
      </c>
      <c r="C44" s="1"/>
      <c r="D44" s="1" t="s">
        <v>176</v>
      </c>
      <c r="E44" s="1">
        <v>64913</v>
      </c>
      <c r="F44" s="2">
        <v>42302</v>
      </c>
      <c r="G44" s="1">
        <v>1</v>
      </c>
      <c r="H44" s="1" t="s">
        <v>181</v>
      </c>
      <c r="I44" s="10" t="s">
        <v>221</v>
      </c>
    </row>
    <row r="45" spans="1:9" x14ac:dyDescent="0.35">
      <c r="A45" s="4" t="s">
        <v>52</v>
      </c>
      <c r="B45" s="1" t="s">
        <v>160</v>
      </c>
      <c r="C45" s="1" t="s">
        <v>170</v>
      </c>
      <c r="D45" s="1" t="s">
        <v>176</v>
      </c>
      <c r="E45" s="1">
        <v>35326</v>
      </c>
      <c r="F45" s="2">
        <v>42309</v>
      </c>
      <c r="G45" s="1"/>
      <c r="H45" s="1" t="s">
        <v>181</v>
      </c>
      <c r="I45" s="10" t="s">
        <v>222</v>
      </c>
    </row>
    <row r="46" spans="1:9" x14ac:dyDescent="0.35">
      <c r="A46" s="4" t="s">
        <v>53</v>
      </c>
      <c r="B46" s="1" t="s">
        <v>164</v>
      </c>
      <c r="C46" s="1" t="s">
        <v>166</v>
      </c>
      <c r="D46" s="1"/>
      <c r="E46" s="1">
        <v>81610</v>
      </c>
      <c r="F46" s="2">
        <v>42316</v>
      </c>
      <c r="G46" s="1">
        <v>1</v>
      </c>
      <c r="H46" s="1"/>
      <c r="I46" s="10" t="s">
        <v>223</v>
      </c>
    </row>
    <row r="47" spans="1:9" x14ac:dyDescent="0.35">
      <c r="A47" s="4" t="s">
        <v>54</v>
      </c>
      <c r="B47" s="1"/>
      <c r="C47" s="1" t="s">
        <v>167</v>
      </c>
      <c r="D47" s="1"/>
      <c r="E47" s="1">
        <v>58962</v>
      </c>
      <c r="F47" s="2">
        <v>42323</v>
      </c>
      <c r="G47" s="1">
        <v>3</v>
      </c>
      <c r="H47" s="1" t="s">
        <v>179</v>
      </c>
      <c r="I47" s="10" t="s">
        <v>183</v>
      </c>
    </row>
    <row r="48" spans="1:9" x14ac:dyDescent="0.35">
      <c r="A48" s="4" t="s">
        <v>55</v>
      </c>
      <c r="B48" s="1" t="s">
        <v>164</v>
      </c>
      <c r="C48" s="1" t="s">
        <v>169</v>
      </c>
      <c r="D48" s="1" t="s">
        <v>172</v>
      </c>
      <c r="E48" s="1">
        <v>92701</v>
      </c>
      <c r="F48" s="2">
        <v>42330</v>
      </c>
      <c r="G48" s="1">
        <v>3</v>
      </c>
      <c r="H48" s="1" t="s">
        <v>179</v>
      </c>
      <c r="I48" s="10" t="s">
        <v>224</v>
      </c>
    </row>
    <row r="49" spans="1:9" x14ac:dyDescent="0.35">
      <c r="A49" s="4" t="s">
        <v>56</v>
      </c>
      <c r="B49" s="1" t="s">
        <v>164</v>
      </c>
      <c r="C49" s="1" t="s">
        <v>167</v>
      </c>
      <c r="D49" s="1" t="s">
        <v>174</v>
      </c>
      <c r="E49" s="1">
        <v>58245</v>
      </c>
      <c r="F49" s="2">
        <v>42337</v>
      </c>
      <c r="G49" s="1">
        <v>4</v>
      </c>
      <c r="H49" s="1"/>
      <c r="I49" s="10" t="s">
        <v>225</v>
      </c>
    </row>
    <row r="50" spans="1:9" x14ac:dyDescent="0.35">
      <c r="A50" s="4" t="s">
        <v>57</v>
      </c>
      <c r="B50" s="1" t="s">
        <v>161</v>
      </c>
      <c r="C50" s="1" t="s">
        <v>166</v>
      </c>
      <c r="D50" s="1"/>
      <c r="E50" s="1">
        <v>66513</v>
      </c>
      <c r="F50" s="2">
        <v>42344</v>
      </c>
      <c r="G50" s="1">
        <v>2</v>
      </c>
      <c r="H50" s="1" t="s">
        <v>179</v>
      </c>
      <c r="I50" s="10" t="s">
        <v>187</v>
      </c>
    </row>
    <row r="51" spans="1:9" x14ac:dyDescent="0.35">
      <c r="A51" s="4" t="s">
        <v>58</v>
      </c>
      <c r="B51" s="1" t="s">
        <v>159</v>
      </c>
      <c r="C51" s="1" t="s">
        <v>167</v>
      </c>
      <c r="D51" s="1" t="s">
        <v>172</v>
      </c>
      <c r="E51" s="1">
        <v>78720</v>
      </c>
      <c r="F51" s="2">
        <v>42351</v>
      </c>
      <c r="G51" s="1">
        <v>5</v>
      </c>
      <c r="H51" s="1" t="s">
        <v>181</v>
      </c>
      <c r="I51" s="10" t="s">
        <v>219</v>
      </c>
    </row>
    <row r="52" spans="1:9" x14ac:dyDescent="0.35">
      <c r="A52" s="4" t="s">
        <v>59</v>
      </c>
      <c r="B52" s="1" t="s">
        <v>164</v>
      </c>
      <c r="C52" s="1"/>
      <c r="D52" s="1" t="s">
        <v>171</v>
      </c>
      <c r="E52" s="1">
        <v>30686</v>
      </c>
      <c r="F52" s="1"/>
      <c r="G52" s="1">
        <v>2</v>
      </c>
      <c r="H52" s="1" t="s">
        <v>181</v>
      </c>
      <c r="I52" s="10" t="s">
        <v>226</v>
      </c>
    </row>
    <row r="53" spans="1:9" x14ac:dyDescent="0.35">
      <c r="A53" s="4" t="s">
        <v>60</v>
      </c>
      <c r="B53" s="1" t="s">
        <v>163</v>
      </c>
      <c r="C53" s="1" t="s">
        <v>168</v>
      </c>
      <c r="D53" s="1" t="s">
        <v>174</v>
      </c>
      <c r="E53" s="1">
        <v>39423</v>
      </c>
      <c r="F53" s="2">
        <v>42365</v>
      </c>
      <c r="G53" s="1">
        <v>5</v>
      </c>
      <c r="H53" s="1"/>
      <c r="I53" s="10" t="s">
        <v>227</v>
      </c>
    </row>
    <row r="54" spans="1:9" x14ac:dyDescent="0.35">
      <c r="A54" s="4" t="s">
        <v>61</v>
      </c>
      <c r="B54" s="1" t="s">
        <v>159</v>
      </c>
      <c r="C54" s="1" t="s">
        <v>170</v>
      </c>
      <c r="D54" s="1"/>
      <c r="E54" s="1">
        <v>30280</v>
      </c>
      <c r="F54" s="2">
        <v>42372</v>
      </c>
      <c r="G54" s="1">
        <v>1</v>
      </c>
      <c r="H54" s="1"/>
      <c r="I54" s="10" t="s">
        <v>228</v>
      </c>
    </row>
    <row r="55" spans="1:9" x14ac:dyDescent="0.35">
      <c r="A55" s="4" t="s">
        <v>62</v>
      </c>
      <c r="B55" s="1" t="s">
        <v>159</v>
      </c>
      <c r="C55" s="1" t="s">
        <v>166</v>
      </c>
      <c r="D55" s="1" t="s">
        <v>175</v>
      </c>
      <c r="E55" s="1">
        <v>33352</v>
      </c>
      <c r="F55" s="2">
        <v>42379</v>
      </c>
      <c r="G55" s="1">
        <v>3</v>
      </c>
      <c r="H55" s="1" t="s">
        <v>181</v>
      </c>
      <c r="I55" s="10" t="s">
        <v>200</v>
      </c>
    </row>
    <row r="56" spans="1:9" x14ac:dyDescent="0.35">
      <c r="A56" s="4" t="s">
        <v>63</v>
      </c>
      <c r="B56" s="1" t="s">
        <v>165</v>
      </c>
      <c r="C56" s="1" t="s">
        <v>170</v>
      </c>
      <c r="D56" s="1" t="s">
        <v>175</v>
      </c>
      <c r="E56" s="1">
        <v>75633</v>
      </c>
      <c r="F56" s="2">
        <v>42386</v>
      </c>
      <c r="G56" s="1">
        <v>5</v>
      </c>
      <c r="H56" s="1" t="s">
        <v>179</v>
      </c>
      <c r="I56" s="10" t="s">
        <v>229</v>
      </c>
    </row>
    <row r="57" spans="1:9" x14ac:dyDescent="0.35">
      <c r="A57" s="4" t="s">
        <v>64</v>
      </c>
      <c r="B57" s="1" t="s">
        <v>164</v>
      </c>
      <c r="C57" s="1"/>
      <c r="D57" s="1" t="s">
        <v>173</v>
      </c>
      <c r="E57" s="1">
        <v>74815</v>
      </c>
      <c r="F57" s="2">
        <v>42393</v>
      </c>
      <c r="G57" s="1">
        <v>5</v>
      </c>
      <c r="H57" s="1" t="s">
        <v>181</v>
      </c>
      <c r="I57" s="10" t="s">
        <v>230</v>
      </c>
    </row>
    <row r="58" spans="1:9" x14ac:dyDescent="0.35">
      <c r="A58" s="4" t="s">
        <v>65</v>
      </c>
      <c r="B58" s="1" t="s">
        <v>161</v>
      </c>
      <c r="C58" s="1" t="s">
        <v>168</v>
      </c>
      <c r="D58" s="1" t="s">
        <v>176</v>
      </c>
      <c r="E58" s="1">
        <v>60011</v>
      </c>
      <c r="F58" s="2">
        <v>42400</v>
      </c>
      <c r="G58" s="1">
        <v>1</v>
      </c>
      <c r="H58" s="1" t="s">
        <v>180</v>
      </c>
      <c r="I58" s="10" t="s">
        <v>231</v>
      </c>
    </row>
    <row r="59" spans="1:9" x14ac:dyDescent="0.35">
      <c r="A59" s="4" t="s">
        <v>66</v>
      </c>
      <c r="B59" s="1" t="s">
        <v>159</v>
      </c>
      <c r="C59" s="1"/>
      <c r="D59" s="1" t="s">
        <v>174</v>
      </c>
      <c r="E59" s="1">
        <v>96949</v>
      </c>
      <c r="F59" s="2">
        <v>42407</v>
      </c>
      <c r="G59" s="1">
        <v>3</v>
      </c>
      <c r="H59" s="1"/>
      <c r="I59" s="10" t="s">
        <v>207</v>
      </c>
    </row>
    <row r="60" spans="1:9" x14ac:dyDescent="0.35">
      <c r="A60" s="4" t="s">
        <v>67</v>
      </c>
      <c r="B60" s="1" t="s">
        <v>163</v>
      </c>
      <c r="C60" s="1" t="s">
        <v>170</v>
      </c>
      <c r="D60" s="1"/>
      <c r="E60" s="1">
        <v>84924</v>
      </c>
      <c r="F60" s="2">
        <v>42414</v>
      </c>
      <c r="G60" s="1">
        <v>5</v>
      </c>
      <c r="H60" s="1" t="s">
        <v>180</v>
      </c>
      <c r="I60" s="10" t="s">
        <v>232</v>
      </c>
    </row>
    <row r="61" spans="1:9" x14ac:dyDescent="0.35">
      <c r="A61" s="4" t="s">
        <v>68</v>
      </c>
      <c r="B61" s="1" t="s">
        <v>163</v>
      </c>
      <c r="C61" s="1" t="s">
        <v>166</v>
      </c>
      <c r="D61" s="1" t="s">
        <v>173</v>
      </c>
      <c r="E61" s="1">
        <v>82033</v>
      </c>
      <c r="F61" s="2">
        <v>42421</v>
      </c>
      <c r="G61" s="1">
        <v>1</v>
      </c>
      <c r="H61" s="1"/>
      <c r="I61" s="10" t="s">
        <v>223</v>
      </c>
    </row>
    <row r="62" spans="1:9" x14ac:dyDescent="0.35">
      <c r="A62" s="4" t="s">
        <v>69</v>
      </c>
      <c r="B62" s="1"/>
      <c r="C62" s="1" t="s">
        <v>170</v>
      </c>
      <c r="D62" s="1" t="s">
        <v>172</v>
      </c>
      <c r="E62" s="1" t="s">
        <v>177</v>
      </c>
      <c r="F62" s="1"/>
      <c r="G62" s="1">
        <v>5</v>
      </c>
      <c r="H62" s="1" t="s">
        <v>178</v>
      </c>
      <c r="I62" s="10" t="s">
        <v>233</v>
      </c>
    </row>
    <row r="63" spans="1:9" x14ac:dyDescent="0.35">
      <c r="A63" s="4" t="s">
        <v>70</v>
      </c>
      <c r="B63" s="1" t="s">
        <v>159</v>
      </c>
      <c r="C63" s="1"/>
      <c r="D63" s="1" t="s">
        <v>176</v>
      </c>
      <c r="E63" s="1">
        <v>31499</v>
      </c>
      <c r="F63" s="2">
        <v>42435</v>
      </c>
      <c r="G63" s="1">
        <v>2</v>
      </c>
      <c r="H63" s="1"/>
      <c r="I63" s="10" t="s">
        <v>215</v>
      </c>
    </row>
    <row r="64" spans="1:9" x14ac:dyDescent="0.35">
      <c r="A64" s="4" t="s">
        <v>71</v>
      </c>
      <c r="B64" s="1" t="s">
        <v>164</v>
      </c>
      <c r="C64" s="1" t="s">
        <v>169</v>
      </c>
      <c r="D64" s="1" t="s">
        <v>175</v>
      </c>
      <c r="E64" s="1">
        <v>97981</v>
      </c>
      <c r="F64" s="2">
        <v>42442</v>
      </c>
      <c r="G64" s="1">
        <v>5</v>
      </c>
      <c r="H64" s="1" t="s">
        <v>181</v>
      </c>
      <c r="I64" s="10" t="s">
        <v>234</v>
      </c>
    </row>
    <row r="65" spans="1:9" x14ac:dyDescent="0.35">
      <c r="A65" s="4" t="s">
        <v>72</v>
      </c>
      <c r="B65" s="1" t="s">
        <v>159</v>
      </c>
      <c r="C65" s="1" t="s">
        <v>167</v>
      </c>
      <c r="D65" s="1" t="s">
        <v>173</v>
      </c>
      <c r="E65" s="1">
        <v>36541</v>
      </c>
      <c r="F65" s="2">
        <v>42449</v>
      </c>
      <c r="G65" s="1">
        <v>2</v>
      </c>
      <c r="H65" s="1" t="s">
        <v>179</v>
      </c>
      <c r="I65" s="10" t="s">
        <v>235</v>
      </c>
    </row>
    <row r="66" spans="1:9" x14ac:dyDescent="0.35">
      <c r="A66" s="4" t="s">
        <v>73</v>
      </c>
      <c r="B66" s="1" t="s">
        <v>161</v>
      </c>
      <c r="C66" s="1" t="s">
        <v>169</v>
      </c>
      <c r="D66" s="1" t="s">
        <v>174</v>
      </c>
      <c r="E66" s="1">
        <v>84737</v>
      </c>
      <c r="F66" s="2">
        <v>42456</v>
      </c>
      <c r="G66" s="1">
        <v>1</v>
      </c>
      <c r="H66" s="1" t="s">
        <v>180</v>
      </c>
      <c r="I66" s="10" t="s">
        <v>236</v>
      </c>
    </row>
    <row r="67" spans="1:9" x14ac:dyDescent="0.35">
      <c r="A67" s="4" t="s">
        <v>74</v>
      </c>
      <c r="B67" s="1" t="s">
        <v>163</v>
      </c>
      <c r="C67" s="1" t="s">
        <v>166</v>
      </c>
      <c r="D67" s="1" t="s">
        <v>174</v>
      </c>
      <c r="E67" s="1">
        <v>33468</v>
      </c>
      <c r="F67" s="2">
        <v>42463</v>
      </c>
      <c r="G67" s="1">
        <v>4</v>
      </c>
      <c r="H67" s="1" t="s">
        <v>180</v>
      </c>
      <c r="I67" s="10" t="s">
        <v>237</v>
      </c>
    </row>
    <row r="68" spans="1:9" x14ac:dyDescent="0.35">
      <c r="A68" s="4" t="s">
        <v>75</v>
      </c>
      <c r="B68" s="1" t="s">
        <v>163</v>
      </c>
      <c r="C68" s="1"/>
      <c r="D68" s="1" t="s">
        <v>176</v>
      </c>
      <c r="E68" s="1">
        <v>96365</v>
      </c>
      <c r="F68" s="2">
        <v>42470</v>
      </c>
      <c r="G68" s="1">
        <v>3</v>
      </c>
      <c r="H68" s="1" t="s">
        <v>179</v>
      </c>
      <c r="I68" s="10" t="s">
        <v>238</v>
      </c>
    </row>
    <row r="69" spans="1:9" x14ac:dyDescent="0.35">
      <c r="A69" s="4" t="s">
        <v>76</v>
      </c>
      <c r="B69" s="1" t="s">
        <v>160</v>
      </c>
      <c r="C69" s="1" t="s">
        <v>168</v>
      </c>
      <c r="D69" s="1" t="s">
        <v>174</v>
      </c>
      <c r="E69" s="1">
        <v>61942</v>
      </c>
      <c r="F69" s="2">
        <v>42477</v>
      </c>
      <c r="G69" s="1">
        <v>3</v>
      </c>
      <c r="H69" s="1" t="s">
        <v>181</v>
      </c>
      <c r="I69" s="10" t="s">
        <v>239</v>
      </c>
    </row>
    <row r="70" spans="1:9" x14ac:dyDescent="0.35">
      <c r="A70" s="4" t="s">
        <v>77</v>
      </c>
      <c r="B70" s="1" t="s">
        <v>163</v>
      </c>
      <c r="C70" s="1" t="s">
        <v>166</v>
      </c>
      <c r="D70" s="1" t="s">
        <v>175</v>
      </c>
      <c r="E70" s="1">
        <v>41467</v>
      </c>
      <c r="F70" s="2">
        <v>42484</v>
      </c>
      <c r="G70" s="1">
        <v>2</v>
      </c>
      <c r="H70" s="1"/>
      <c r="I70" s="10" t="s">
        <v>201</v>
      </c>
    </row>
    <row r="71" spans="1:9" x14ac:dyDescent="0.35">
      <c r="A71" s="4" t="s">
        <v>78</v>
      </c>
      <c r="B71" s="1" t="s">
        <v>165</v>
      </c>
      <c r="C71" s="1" t="s">
        <v>166</v>
      </c>
      <c r="D71" s="1" t="s">
        <v>174</v>
      </c>
      <c r="E71" s="1">
        <v>77096</v>
      </c>
      <c r="F71" s="2">
        <v>42491</v>
      </c>
      <c r="G71" s="1">
        <v>1</v>
      </c>
      <c r="H71" s="1"/>
      <c r="I71" s="10" t="s">
        <v>240</v>
      </c>
    </row>
    <row r="72" spans="1:9" x14ac:dyDescent="0.35">
      <c r="A72" s="4" t="s">
        <v>79</v>
      </c>
      <c r="B72" s="1" t="s">
        <v>159</v>
      </c>
      <c r="C72" s="1" t="s">
        <v>168</v>
      </c>
      <c r="D72" s="1" t="s">
        <v>176</v>
      </c>
      <c r="E72" s="1">
        <v>69952</v>
      </c>
      <c r="F72" s="2">
        <v>42498</v>
      </c>
      <c r="G72" s="1">
        <v>5</v>
      </c>
      <c r="H72" s="1" t="s">
        <v>181</v>
      </c>
      <c r="I72" s="10" t="s">
        <v>182</v>
      </c>
    </row>
    <row r="73" spans="1:9" x14ac:dyDescent="0.35">
      <c r="A73" s="4" t="s">
        <v>80</v>
      </c>
      <c r="B73" s="1" t="s">
        <v>159</v>
      </c>
      <c r="C73" s="1" t="s">
        <v>170</v>
      </c>
      <c r="D73" s="1" t="s">
        <v>173</v>
      </c>
      <c r="E73" s="1">
        <v>85065</v>
      </c>
      <c r="F73" s="2">
        <v>42505</v>
      </c>
      <c r="G73" s="1">
        <v>3</v>
      </c>
      <c r="H73" s="1"/>
      <c r="I73" s="10" t="s">
        <v>241</v>
      </c>
    </row>
    <row r="74" spans="1:9" x14ac:dyDescent="0.35">
      <c r="A74" s="4" t="s">
        <v>81</v>
      </c>
      <c r="B74" s="1" t="s">
        <v>165</v>
      </c>
      <c r="C74" s="1" t="s">
        <v>170</v>
      </c>
      <c r="D74" s="1" t="s">
        <v>174</v>
      </c>
      <c r="E74" s="1">
        <v>56512</v>
      </c>
      <c r="F74" s="2">
        <v>42512</v>
      </c>
      <c r="G74" s="1"/>
      <c r="H74" s="1" t="s">
        <v>179</v>
      </c>
      <c r="I74" s="10" t="s">
        <v>190</v>
      </c>
    </row>
    <row r="75" spans="1:9" x14ac:dyDescent="0.35">
      <c r="A75" s="4" t="s">
        <v>82</v>
      </c>
      <c r="B75" s="1" t="s">
        <v>161</v>
      </c>
      <c r="C75" s="1" t="s">
        <v>168</v>
      </c>
      <c r="D75" s="1" t="s">
        <v>174</v>
      </c>
      <c r="E75" s="1">
        <v>91101</v>
      </c>
      <c r="F75" s="2">
        <v>42519</v>
      </c>
      <c r="G75" s="1">
        <v>4</v>
      </c>
      <c r="H75" s="1" t="s">
        <v>181</v>
      </c>
      <c r="I75" s="10" t="s">
        <v>234</v>
      </c>
    </row>
    <row r="76" spans="1:9" x14ac:dyDescent="0.35">
      <c r="A76" s="4" t="s">
        <v>83</v>
      </c>
      <c r="B76" s="1" t="s">
        <v>163</v>
      </c>
      <c r="C76" s="1"/>
      <c r="D76" s="1" t="s">
        <v>172</v>
      </c>
      <c r="E76" s="1">
        <v>41243</v>
      </c>
      <c r="F76" s="2">
        <v>42526</v>
      </c>
      <c r="G76" s="1"/>
      <c r="H76" s="1"/>
      <c r="I76" s="10" t="s">
        <v>211</v>
      </c>
    </row>
    <row r="77" spans="1:9" x14ac:dyDescent="0.35">
      <c r="A77" s="4" t="s">
        <v>84</v>
      </c>
      <c r="B77" s="1"/>
      <c r="C77" s="1" t="s">
        <v>168</v>
      </c>
      <c r="D77" s="1" t="s">
        <v>171</v>
      </c>
      <c r="E77" s="1">
        <v>96142</v>
      </c>
      <c r="F77" s="2">
        <v>42533</v>
      </c>
      <c r="G77" s="1">
        <v>1</v>
      </c>
      <c r="H77" s="1" t="s">
        <v>179</v>
      </c>
      <c r="I77" s="10" t="s">
        <v>242</v>
      </c>
    </row>
    <row r="78" spans="1:9" x14ac:dyDescent="0.35">
      <c r="A78" s="4" t="s">
        <v>85</v>
      </c>
      <c r="B78" s="1" t="s">
        <v>159</v>
      </c>
      <c r="C78" s="1" t="s">
        <v>169</v>
      </c>
      <c r="D78" s="1" t="s">
        <v>174</v>
      </c>
      <c r="E78" s="1">
        <v>94301</v>
      </c>
      <c r="F78" s="2">
        <v>42540</v>
      </c>
      <c r="G78" s="1">
        <v>1</v>
      </c>
      <c r="H78" s="1" t="s">
        <v>180</v>
      </c>
      <c r="I78" s="10" t="s">
        <v>223</v>
      </c>
    </row>
    <row r="79" spans="1:9" x14ac:dyDescent="0.35">
      <c r="A79" s="4" t="s">
        <v>86</v>
      </c>
      <c r="B79" s="1" t="s">
        <v>162</v>
      </c>
      <c r="C79" s="1"/>
      <c r="D79" s="1" t="s">
        <v>175</v>
      </c>
      <c r="E79" s="1">
        <v>69166</v>
      </c>
      <c r="F79" s="2">
        <v>42547</v>
      </c>
      <c r="G79" s="1">
        <v>1</v>
      </c>
      <c r="H79" s="1" t="s">
        <v>181</v>
      </c>
      <c r="I79" s="10" t="s">
        <v>243</v>
      </c>
    </row>
    <row r="80" spans="1:9" x14ac:dyDescent="0.35">
      <c r="A80" s="4" t="s">
        <v>87</v>
      </c>
      <c r="B80" s="1" t="s">
        <v>163</v>
      </c>
      <c r="C80" s="1"/>
      <c r="D80" s="1" t="s">
        <v>175</v>
      </c>
      <c r="E80" s="1">
        <v>78245</v>
      </c>
      <c r="F80" s="2">
        <v>42554</v>
      </c>
      <c r="G80" s="1">
        <v>2</v>
      </c>
      <c r="H80" s="1"/>
      <c r="I80" s="10" t="s">
        <v>244</v>
      </c>
    </row>
    <row r="81" spans="1:9" x14ac:dyDescent="0.35">
      <c r="A81" s="4" t="s">
        <v>88</v>
      </c>
      <c r="B81" s="1" t="s">
        <v>164</v>
      </c>
      <c r="C81" s="1" t="s">
        <v>168</v>
      </c>
      <c r="D81" s="1" t="s">
        <v>173</v>
      </c>
      <c r="E81" s="1">
        <v>66079</v>
      </c>
      <c r="F81" s="2">
        <v>42561</v>
      </c>
      <c r="G81" s="1">
        <v>2</v>
      </c>
      <c r="H81" s="1" t="s">
        <v>179</v>
      </c>
      <c r="I81" s="10" t="s">
        <v>245</v>
      </c>
    </row>
    <row r="82" spans="1:9" x14ac:dyDescent="0.35">
      <c r="A82" s="4" t="s">
        <v>89</v>
      </c>
      <c r="B82" s="1" t="s">
        <v>159</v>
      </c>
      <c r="C82" s="1" t="s">
        <v>170</v>
      </c>
      <c r="D82" s="1" t="s">
        <v>174</v>
      </c>
      <c r="E82" s="1" t="s">
        <v>177</v>
      </c>
      <c r="F82" s="1"/>
      <c r="G82" s="1"/>
      <c r="H82" s="1"/>
      <c r="I82" s="10" t="s">
        <v>208</v>
      </c>
    </row>
    <row r="83" spans="1:9" x14ac:dyDescent="0.35">
      <c r="A83" s="4" t="s">
        <v>90</v>
      </c>
      <c r="B83" s="1" t="s">
        <v>162</v>
      </c>
      <c r="C83" s="1" t="s">
        <v>168</v>
      </c>
      <c r="D83" s="1" t="s">
        <v>173</v>
      </c>
      <c r="E83" s="1">
        <v>95621</v>
      </c>
      <c r="F83" s="2">
        <v>42575</v>
      </c>
      <c r="G83" s="1">
        <v>3</v>
      </c>
      <c r="H83" s="1" t="s">
        <v>181</v>
      </c>
      <c r="I83" s="10" t="s">
        <v>246</v>
      </c>
    </row>
    <row r="84" spans="1:9" x14ac:dyDescent="0.35">
      <c r="A84" s="4" t="s">
        <v>91</v>
      </c>
      <c r="B84" s="1" t="s">
        <v>159</v>
      </c>
      <c r="C84" s="1" t="s">
        <v>169</v>
      </c>
      <c r="D84" s="1" t="s">
        <v>175</v>
      </c>
      <c r="E84" s="1">
        <v>42262</v>
      </c>
      <c r="F84" s="2">
        <v>42582</v>
      </c>
      <c r="G84" s="1">
        <v>1</v>
      </c>
      <c r="H84" s="1"/>
      <c r="I84" s="10" t="s">
        <v>247</v>
      </c>
    </row>
    <row r="85" spans="1:9" x14ac:dyDescent="0.35">
      <c r="A85" s="4" t="s">
        <v>92</v>
      </c>
      <c r="B85" s="1" t="s">
        <v>163</v>
      </c>
      <c r="C85" s="1" t="s">
        <v>168</v>
      </c>
      <c r="D85" s="1" t="s">
        <v>174</v>
      </c>
      <c r="E85" s="1">
        <v>99621</v>
      </c>
      <c r="F85" s="2">
        <v>42589</v>
      </c>
      <c r="G85" s="1"/>
      <c r="H85" s="1" t="s">
        <v>179</v>
      </c>
      <c r="I85" s="10" t="s">
        <v>248</v>
      </c>
    </row>
    <row r="86" spans="1:9" x14ac:dyDescent="0.35">
      <c r="A86" s="4" t="s">
        <v>93</v>
      </c>
      <c r="B86" s="1" t="s">
        <v>161</v>
      </c>
      <c r="C86" s="1" t="s">
        <v>170</v>
      </c>
      <c r="D86" s="1" t="s">
        <v>174</v>
      </c>
      <c r="E86" s="1">
        <v>44682</v>
      </c>
      <c r="F86" s="2">
        <v>42596</v>
      </c>
      <c r="G86" s="1">
        <v>4</v>
      </c>
      <c r="H86" s="1" t="s">
        <v>181</v>
      </c>
      <c r="I86" s="10" t="s">
        <v>220</v>
      </c>
    </row>
    <row r="87" spans="1:9" x14ac:dyDescent="0.35">
      <c r="A87" s="4" t="s">
        <v>94</v>
      </c>
      <c r="B87" s="1" t="s">
        <v>164</v>
      </c>
      <c r="C87" s="1" t="s">
        <v>166</v>
      </c>
      <c r="D87" s="1"/>
      <c r="E87" s="1">
        <v>35163</v>
      </c>
      <c r="F87" s="2">
        <v>42603</v>
      </c>
      <c r="G87" s="1">
        <v>5</v>
      </c>
      <c r="H87" s="1" t="s">
        <v>179</v>
      </c>
      <c r="I87" s="10" t="s">
        <v>249</v>
      </c>
    </row>
    <row r="88" spans="1:9" x14ac:dyDescent="0.35">
      <c r="A88" s="4" t="s">
        <v>95</v>
      </c>
      <c r="B88" s="1" t="s">
        <v>164</v>
      </c>
      <c r="C88" s="1" t="s">
        <v>169</v>
      </c>
      <c r="D88" s="1" t="s">
        <v>174</v>
      </c>
      <c r="E88" s="1">
        <v>33483</v>
      </c>
      <c r="F88" s="2">
        <v>42610</v>
      </c>
      <c r="G88" s="1">
        <v>4</v>
      </c>
      <c r="H88" s="1" t="s">
        <v>180</v>
      </c>
      <c r="I88" s="10" t="s">
        <v>250</v>
      </c>
    </row>
    <row r="89" spans="1:9" x14ac:dyDescent="0.35">
      <c r="A89" s="4" t="s">
        <v>96</v>
      </c>
      <c r="B89" s="1" t="s">
        <v>163</v>
      </c>
      <c r="C89" s="1" t="s">
        <v>167</v>
      </c>
      <c r="D89" s="1" t="s">
        <v>172</v>
      </c>
      <c r="E89" s="1">
        <v>55303</v>
      </c>
      <c r="F89" s="2">
        <v>42617</v>
      </c>
      <c r="G89" s="1">
        <v>4</v>
      </c>
      <c r="H89" s="1" t="s">
        <v>180</v>
      </c>
      <c r="I89" s="10" t="s">
        <v>203</v>
      </c>
    </row>
    <row r="90" spans="1:9" x14ac:dyDescent="0.35">
      <c r="A90" s="4" t="s">
        <v>97</v>
      </c>
      <c r="B90" s="1" t="s">
        <v>164</v>
      </c>
      <c r="C90" s="1" t="s">
        <v>169</v>
      </c>
      <c r="D90" s="1"/>
      <c r="E90" s="1">
        <v>63434</v>
      </c>
      <c r="F90" s="2">
        <v>42624</v>
      </c>
      <c r="G90" s="1">
        <v>3</v>
      </c>
      <c r="H90" s="1"/>
      <c r="I90" s="10" t="s">
        <v>251</v>
      </c>
    </row>
    <row r="91" spans="1:9" x14ac:dyDescent="0.35">
      <c r="A91" s="4" t="s">
        <v>98</v>
      </c>
      <c r="B91" s="1" t="s">
        <v>162</v>
      </c>
      <c r="C91" s="1"/>
      <c r="D91" s="1" t="s">
        <v>176</v>
      </c>
      <c r="E91" s="1">
        <v>38830</v>
      </c>
      <c r="F91" s="2">
        <v>42631</v>
      </c>
      <c r="G91" s="1">
        <v>3</v>
      </c>
      <c r="H91" s="1" t="s">
        <v>179</v>
      </c>
      <c r="I91" s="10" t="s">
        <v>203</v>
      </c>
    </row>
    <row r="92" spans="1:9" x14ac:dyDescent="0.35">
      <c r="A92" s="4" t="s">
        <v>99</v>
      </c>
      <c r="B92" s="1"/>
      <c r="C92" s="1" t="s">
        <v>170</v>
      </c>
      <c r="D92" s="1" t="s">
        <v>175</v>
      </c>
      <c r="E92" s="1">
        <v>50741</v>
      </c>
      <c r="F92" s="2">
        <v>42638</v>
      </c>
      <c r="G92" s="1">
        <v>3</v>
      </c>
      <c r="H92" s="1" t="s">
        <v>178</v>
      </c>
      <c r="I92" s="10" t="s">
        <v>240</v>
      </c>
    </row>
    <row r="93" spans="1:9" x14ac:dyDescent="0.35">
      <c r="A93" s="4" t="s">
        <v>100</v>
      </c>
      <c r="B93" s="1" t="s">
        <v>160</v>
      </c>
      <c r="C93" s="1" t="s">
        <v>167</v>
      </c>
      <c r="D93" s="1" t="s">
        <v>176</v>
      </c>
      <c r="E93" s="1">
        <v>69420</v>
      </c>
      <c r="F93" s="2">
        <v>42645</v>
      </c>
      <c r="G93" s="1">
        <v>1</v>
      </c>
      <c r="H93" s="1" t="s">
        <v>180</v>
      </c>
      <c r="I93" s="10" t="s">
        <v>225</v>
      </c>
    </row>
    <row r="94" spans="1:9" x14ac:dyDescent="0.35">
      <c r="A94" s="4" t="s">
        <v>101</v>
      </c>
      <c r="B94" s="1" t="s">
        <v>162</v>
      </c>
      <c r="C94" s="1" t="s">
        <v>169</v>
      </c>
      <c r="D94" s="1"/>
      <c r="E94" s="1">
        <v>80588</v>
      </c>
      <c r="F94" s="2">
        <v>42652</v>
      </c>
      <c r="G94" s="1">
        <v>5</v>
      </c>
      <c r="H94" s="1" t="s">
        <v>180</v>
      </c>
      <c r="I94" s="10" t="s">
        <v>216</v>
      </c>
    </row>
    <row r="95" spans="1:9" x14ac:dyDescent="0.35">
      <c r="A95" s="4" t="s">
        <v>102</v>
      </c>
      <c r="B95" s="1" t="s">
        <v>160</v>
      </c>
      <c r="C95" s="1"/>
      <c r="D95" s="1" t="s">
        <v>173</v>
      </c>
      <c r="E95" s="1">
        <v>76238</v>
      </c>
      <c r="F95" s="2">
        <v>42659</v>
      </c>
      <c r="G95" s="1">
        <v>4</v>
      </c>
      <c r="H95" s="1" t="s">
        <v>180</v>
      </c>
      <c r="I95" s="10" t="s">
        <v>252</v>
      </c>
    </row>
    <row r="96" spans="1:9" x14ac:dyDescent="0.35">
      <c r="A96" s="4" t="s">
        <v>103</v>
      </c>
      <c r="B96" s="1" t="s">
        <v>165</v>
      </c>
      <c r="C96" s="1" t="s">
        <v>169</v>
      </c>
      <c r="D96" s="1" t="s">
        <v>174</v>
      </c>
      <c r="E96" s="1">
        <v>33264</v>
      </c>
      <c r="F96" s="2">
        <v>42666</v>
      </c>
      <c r="G96" s="1"/>
      <c r="H96" s="1" t="s">
        <v>181</v>
      </c>
      <c r="I96" s="10" t="s">
        <v>253</v>
      </c>
    </row>
    <row r="97" spans="1:9" x14ac:dyDescent="0.35">
      <c r="A97" s="4" t="s">
        <v>104</v>
      </c>
      <c r="B97" s="1" t="s">
        <v>160</v>
      </c>
      <c r="C97" s="1" t="s">
        <v>166</v>
      </c>
      <c r="D97" s="1" t="s">
        <v>176</v>
      </c>
      <c r="E97" s="1">
        <v>96101</v>
      </c>
      <c r="F97" s="2">
        <v>42673</v>
      </c>
      <c r="G97" s="1"/>
      <c r="H97" s="1" t="s">
        <v>179</v>
      </c>
      <c r="I97" s="10" t="s">
        <v>254</v>
      </c>
    </row>
    <row r="98" spans="1:9" x14ac:dyDescent="0.35">
      <c r="A98" s="4" t="s">
        <v>105</v>
      </c>
      <c r="B98" s="1" t="s">
        <v>162</v>
      </c>
      <c r="C98" s="1" t="s">
        <v>166</v>
      </c>
      <c r="D98" s="1" t="s">
        <v>173</v>
      </c>
      <c r="E98" s="1">
        <v>72939</v>
      </c>
      <c r="F98" s="2">
        <v>42680</v>
      </c>
      <c r="G98" s="1">
        <v>3</v>
      </c>
      <c r="H98" s="1"/>
      <c r="I98" s="10" t="s">
        <v>255</v>
      </c>
    </row>
    <row r="99" spans="1:9" x14ac:dyDescent="0.35">
      <c r="A99" s="4" t="s">
        <v>106</v>
      </c>
      <c r="B99" s="1" t="s">
        <v>163</v>
      </c>
      <c r="C99" s="1" t="s">
        <v>167</v>
      </c>
      <c r="D99" s="1" t="s">
        <v>172</v>
      </c>
      <c r="E99" s="1">
        <v>89333</v>
      </c>
      <c r="F99" s="2">
        <v>42687</v>
      </c>
      <c r="G99" s="1">
        <v>1</v>
      </c>
      <c r="H99" s="1" t="s">
        <v>180</v>
      </c>
      <c r="I99" s="10" t="s">
        <v>256</v>
      </c>
    </row>
    <row r="100" spans="1:9" x14ac:dyDescent="0.35">
      <c r="A100" s="4" t="s">
        <v>107</v>
      </c>
      <c r="B100" s="1" t="s">
        <v>165</v>
      </c>
      <c r="C100" s="1" t="s">
        <v>169</v>
      </c>
      <c r="D100" s="1" t="s">
        <v>176</v>
      </c>
      <c r="E100" s="1">
        <v>70470</v>
      </c>
      <c r="F100" s="2">
        <v>42694</v>
      </c>
      <c r="G100" s="1"/>
      <c r="H100" s="1" t="s">
        <v>180</v>
      </c>
      <c r="I100" s="10" t="s">
        <v>257</v>
      </c>
    </row>
    <row r="101" spans="1:9" x14ac:dyDescent="0.35">
      <c r="A101" s="4" t="s">
        <v>108</v>
      </c>
      <c r="B101" s="1" t="s">
        <v>159</v>
      </c>
      <c r="C101" s="1" t="s">
        <v>170</v>
      </c>
      <c r="D101" s="1" t="s">
        <v>173</v>
      </c>
      <c r="E101" s="1">
        <v>70096</v>
      </c>
      <c r="F101" s="2">
        <v>42701</v>
      </c>
      <c r="G101" s="1">
        <v>4</v>
      </c>
      <c r="H101" s="1" t="s">
        <v>180</v>
      </c>
      <c r="I101" s="10" t="s">
        <v>258</v>
      </c>
    </row>
    <row r="102" spans="1:9" x14ac:dyDescent="0.35">
      <c r="A102" s="4" t="s">
        <v>109</v>
      </c>
      <c r="B102" s="1" t="s">
        <v>165</v>
      </c>
      <c r="C102" s="1" t="s">
        <v>170</v>
      </c>
      <c r="D102" s="1" t="s">
        <v>171</v>
      </c>
      <c r="E102" s="1" t="s">
        <v>177</v>
      </c>
      <c r="F102" s="2">
        <v>42708</v>
      </c>
      <c r="G102" s="1">
        <v>2</v>
      </c>
      <c r="H102" s="1" t="s">
        <v>179</v>
      </c>
      <c r="I102" s="10" t="s">
        <v>259</v>
      </c>
    </row>
    <row r="103" spans="1:9" x14ac:dyDescent="0.35">
      <c r="A103" s="4" t="s">
        <v>110</v>
      </c>
      <c r="B103" s="1" t="s">
        <v>165</v>
      </c>
      <c r="C103" s="1" t="s">
        <v>169</v>
      </c>
      <c r="D103" s="1" t="s">
        <v>172</v>
      </c>
      <c r="E103" s="1">
        <v>66503</v>
      </c>
      <c r="F103" s="2">
        <v>42715</v>
      </c>
      <c r="G103" s="1"/>
      <c r="H103" s="1" t="s">
        <v>180</v>
      </c>
      <c r="I103" s="10" t="s">
        <v>200</v>
      </c>
    </row>
    <row r="104" spans="1:9" x14ac:dyDescent="0.35">
      <c r="A104" s="4" t="s">
        <v>111</v>
      </c>
      <c r="B104" s="1" t="s">
        <v>160</v>
      </c>
      <c r="C104" s="1" t="s">
        <v>167</v>
      </c>
      <c r="D104" s="1" t="s">
        <v>172</v>
      </c>
      <c r="E104" s="1">
        <v>42096</v>
      </c>
      <c r="F104" s="2">
        <v>42722</v>
      </c>
      <c r="G104" s="1"/>
      <c r="H104" s="1" t="s">
        <v>181</v>
      </c>
      <c r="I104" s="10" t="s">
        <v>260</v>
      </c>
    </row>
    <row r="105" spans="1:9" x14ac:dyDescent="0.35">
      <c r="A105" s="4" t="s">
        <v>112</v>
      </c>
      <c r="B105" s="1" t="s">
        <v>160</v>
      </c>
      <c r="C105" s="1" t="s">
        <v>170</v>
      </c>
      <c r="D105" s="1"/>
      <c r="E105" s="1">
        <v>79145</v>
      </c>
      <c r="F105" s="2">
        <v>42729</v>
      </c>
      <c r="G105" s="1">
        <v>5</v>
      </c>
      <c r="H105" s="1" t="s">
        <v>179</v>
      </c>
      <c r="I105" s="10" t="s">
        <v>223</v>
      </c>
    </row>
    <row r="106" spans="1:9" x14ac:dyDescent="0.35">
      <c r="A106" s="4" t="s">
        <v>113</v>
      </c>
      <c r="B106" s="1" t="s">
        <v>162</v>
      </c>
      <c r="C106" s="1"/>
      <c r="D106" s="1" t="s">
        <v>176</v>
      </c>
      <c r="E106" s="1">
        <v>61556</v>
      </c>
      <c r="F106" s="2">
        <v>42736</v>
      </c>
      <c r="G106" s="1">
        <v>1</v>
      </c>
      <c r="H106" s="1"/>
      <c r="I106" s="10" t="s">
        <v>259</v>
      </c>
    </row>
    <row r="107" spans="1:9" x14ac:dyDescent="0.35">
      <c r="A107" s="4" t="s">
        <v>114</v>
      </c>
      <c r="B107" s="1"/>
      <c r="C107" s="1" t="s">
        <v>167</v>
      </c>
      <c r="D107" s="1" t="s">
        <v>175</v>
      </c>
      <c r="E107" s="1">
        <v>87963</v>
      </c>
      <c r="F107" s="2">
        <v>42743</v>
      </c>
      <c r="G107" s="1">
        <v>3</v>
      </c>
      <c r="H107" s="1" t="s">
        <v>179</v>
      </c>
      <c r="I107" s="10" t="s">
        <v>182</v>
      </c>
    </row>
    <row r="108" spans="1:9" x14ac:dyDescent="0.35">
      <c r="A108" s="4" t="s">
        <v>115</v>
      </c>
      <c r="B108" s="1" t="s">
        <v>159</v>
      </c>
      <c r="C108" s="1" t="s">
        <v>169</v>
      </c>
      <c r="D108" s="1"/>
      <c r="E108" s="1">
        <v>48325</v>
      </c>
      <c r="F108" s="2">
        <v>42750</v>
      </c>
      <c r="G108" s="1"/>
      <c r="H108" s="1" t="s">
        <v>180</v>
      </c>
      <c r="I108" s="10" t="s">
        <v>261</v>
      </c>
    </row>
    <row r="109" spans="1:9" x14ac:dyDescent="0.35">
      <c r="A109" s="4" t="s">
        <v>116</v>
      </c>
      <c r="B109" s="1" t="s">
        <v>163</v>
      </c>
      <c r="C109" s="1" t="s">
        <v>170</v>
      </c>
      <c r="D109" s="1" t="s">
        <v>176</v>
      </c>
      <c r="E109" s="1">
        <v>86412</v>
      </c>
      <c r="F109" s="2">
        <v>42757</v>
      </c>
      <c r="G109" s="1">
        <v>2</v>
      </c>
      <c r="H109" s="1" t="s">
        <v>181</v>
      </c>
      <c r="I109" s="10" t="s">
        <v>202</v>
      </c>
    </row>
    <row r="110" spans="1:9" x14ac:dyDescent="0.35">
      <c r="A110" s="4" t="s">
        <v>117</v>
      </c>
      <c r="B110" s="1" t="s">
        <v>163</v>
      </c>
      <c r="C110" s="1" t="s">
        <v>167</v>
      </c>
      <c r="D110" s="1"/>
      <c r="E110" s="1">
        <v>66761</v>
      </c>
      <c r="F110" s="2">
        <v>42764</v>
      </c>
      <c r="G110" s="1">
        <v>1</v>
      </c>
      <c r="H110" s="1"/>
      <c r="I110" s="10" t="s">
        <v>262</v>
      </c>
    </row>
    <row r="111" spans="1:9" x14ac:dyDescent="0.35">
      <c r="A111" s="4" t="s">
        <v>118</v>
      </c>
      <c r="B111" s="1" t="s">
        <v>162</v>
      </c>
      <c r="C111" s="1"/>
      <c r="D111" s="1" t="s">
        <v>174</v>
      </c>
      <c r="E111" s="1">
        <v>88850</v>
      </c>
      <c r="F111" s="2">
        <v>42771</v>
      </c>
      <c r="G111" s="1">
        <v>1</v>
      </c>
      <c r="H111" s="1" t="s">
        <v>181</v>
      </c>
      <c r="I111" s="10" t="s">
        <v>263</v>
      </c>
    </row>
    <row r="112" spans="1:9" x14ac:dyDescent="0.35">
      <c r="A112" s="4" t="s">
        <v>119</v>
      </c>
      <c r="B112" s="1" t="s">
        <v>164</v>
      </c>
      <c r="C112" s="1" t="s">
        <v>168</v>
      </c>
      <c r="D112" s="1" t="s">
        <v>174</v>
      </c>
      <c r="E112" s="1">
        <v>31293</v>
      </c>
      <c r="F112" s="1"/>
      <c r="G112" s="1">
        <v>2</v>
      </c>
      <c r="H112" s="1" t="s">
        <v>181</v>
      </c>
      <c r="I112" s="10" t="s">
        <v>264</v>
      </c>
    </row>
    <row r="113" spans="1:9" x14ac:dyDescent="0.35">
      <c r="A113" s="4" t="s">
        <v>120</v>
      </c>
      <c r="B113" s="1" t="s">
        <v>164</v>
      </c>
      <c r="C113" s="1" t="s">
        <v>169</v>
      </c>
      <c r="D113" s="1" t="s">
        <v>173</v>
      </c>
      <c r="E113" s="1">
        <v>34306</v>
      </c>
      <c r="F113" s="2">
        <v>42785</v>
      </c>
      <c r="G113" s="1">
        <v>5</v>
      </c>
      <c r="H113" s="1" t="s">
        <v>181</v>
      </c>
      <c r="I113" s="10" t="s">
        <v>239</v>
      </c>
    </row>
    <row r="114" spans="1:9" x14ac:dyDescent="0.35">
      <c r="A114" s="4" t="s">
        <v>121</v>
      </c>
      <c r="B114" s="1" t="s">
        <v>159</v>
      </c>
      <c r="C114" s="1" t="s">
        <v>166</v>
      </c>
      <c r="D114" s="1" t="s">
        <v>174</v>
      </c>
      <c r="E114" s="1">
        <v>78330</v>
      </c>
      <c r="F114" s="2">
        <v>42792</v>
      </c>
      <c r="G114" s="1"/>
      <c r="H114" s="1" t="s">
        <v>179</v>
      </c>
      <c r="I114" s="10" t="s">
        <v>258</v>
      </c>
    </row>
    <row r="115" spans="1:9" x14ac:dyDescent="0.35">
      <c r="A115" s="4" t="s">
        <v>122</v>
      </c>
      <c r="B115" s="1" t="s">
        <v>160</v>
      </c>
      <c r="C115" s="1" t="s">
        <v>169</v>
      </c>
      <c r="D115" s="1" t="s">
        <v>173</v>
      </c>
      <c r="E115" s="1">
        <v>47653</v>
      </c>
      <c r="F115" s="2">
        <v>42799</v>
      </c>
      <c r="G115" s="1">
        <v>1</v>
      </c>
      <c r="H115" s="1" t="s">
        <v>180</v>
      </c>
      <c r="I115" s="10" t="s">
        <v>265</v>
      </c>
    </row>
    <row r="116" spans="1:9" x14ac:dyDescent="0.35">
      <c r="A116" s="4" t="s">
        <v>123</v>
      </c>
      <c r="B116" s="1" t="s">
        <v>159</v>
      </c>
      <c r="C116" s="1" t="s">
        <v>170</v>
      </c>
      <c r="D116" s="1" t="s">
        <v>175</v>
      </c>
      <c r="E116" s="1">
        <v>44627</v>
      </c>
      <c r="F116" s="2">
        <v>42806</v>
      </c>
      <c r="G116" s="1">
        <v>4</v>
      </c>
      <c r="H116" s="1"/>
      <c r="I116" s="10" t="s">
        <v>235</v>
      </c>
    </row>
    <row r="117" spans="1:9" x14ac:dyDescent="0.35">
      <c r="A117" s="4" t="s">
        <v>124</v>
      </c>
      <c r="B117" s="1" t="s">
        <v>165</v>
      </c>
      <c r="C117" s="1" t="s">
        <v>167</v>
      </c>
      <c r="D117" s="1" t="s">
        <v>172</v>
      </c>
      <c r="E117" s="1">
        <v>92343</v>
      </c>
      <c r="F117" s="2">
        <v>42813</v>
      </c>
      <c r="G117" s="1">
        <v>4</v>
      </c>
      <c r="H117" s="1" t="s">
        <v>181</v>
      </c>
      <c r="I117" s="10" t="s">
        <v>203</v>
      </c>
    </row>
    <row r="118" spans="1:9" x14ac:dyDescent="0.35">
      <c r="A118" s="4" t="s">
        <v>125</v>
      </c>
      <c r="B118" s="1" t="s">
        <v>165</v>
      </c>
      <c r="C118" s="1" t="s">
        <v>170</v>
      </c>
      <c r="D118" s="1" t="s">
        <v>176</v>
      </c>
      <c r="E118" s="1">
        <v>38837</v>
      </c>
      <c r="F118" s="2">
        <v>42820</v>
      </c>
      <c r="G118" s="1">
        <v>5</v>
      </c>
      <c r="H118" s="1" t="s">
        <v>181</v>
      </c>
      <c r="I118" s="10" t="s">
        <v>239</v>
      </c>
    </row>
    <row r="119" spans="1:9" x14ac:dyDescent="0.35">
      <c r="A119" s="4" t="s">
        <v>126</v>
      </c>
      <c r="B119" s="1" t="s">
        <v>165</v>
      </c>
      <c r="C119" s="1" t="s">
        <v>170</v>
      </c>
      <c r="D119" s="1"/>
      <c r="E119" s="1">
        <v>73483</v>
      </c>
      <c r="F119" s="2">
        <v>42827</v>
      </c>
      <c r="G119" s="1">
        <v>1</v>
      </c>
      <c r="H119" s="1"/>
      <c r="I119" s="10" t="s">
        <v>266</v>
      </c>
    </row>
    <row r="120" spans="1:9" x14ac:dyDescent="0.35">
      <c r="A120" s="4" t="s">
        <v>127</v>
      </c>
      <c r="B120" s="1" t="s">
        <v>164</v>
      </c>
      <c r="C120" s="1" t="s">
        <v>168</v>
      </c>
      <c r="D120" s="1" t="s">
        <v>174</v>
      </c>
      <c r="E120" s="1">
        <v>95032</v>
      </c>
      <c r="F120" s="2">
        <v>42834</v>
      </c>
      <c r="G120" s="1">
        <v>3</v>
      </c>
      <c r="H120" s="1"/>
      <c r="I120" s="10" t="s">
        <v>267</v>
      </c>
    </row>
    <row r="121" spans="1:9" x14ac:dyDescent="0.35">
      <c r="A121" s="4" t="s">
        <v>128</v>
      </c>
      <c r="B121" s="1" t="s">
        <v>159</v>
      </c>
      <c r="C121" s="1" t="s">
        <v>168</v>
      </c>
      <c r="D121" s="1" t="s">
        <v>176</v>
      </c>
      <c r="E121" s="1">
        <v>44358</v>
      </c>
      <c r="F121" s="2">
        <v>42841</v>
      </c>
      <c r="G121" s="1"/>
      <c r="H121" s="1" t="s">
        <v>181</v>
      </c>
      <c r="I121" s="10" t="s">
        <v>200</v>
      </c>
    </row>
    <row r="122" spans="1:9" x14ac:dyDescent="0.35">
      <c r="A122" s="4" t="s">
        <v>129</v>
      </c>
      <c r="B122" s="1"/>
      <c r="C122" s="1" t="s">
        <v>169</v>
      </c>
      <c r="D122" s="1" t="s">
        <v>173</v>
      </c>
      <c r="E122" s="1" t="s">
        <v>177</v>
      </c>
      <c r="F122" s="1"/>
      <c r="G122" s="1">
        <v>5</v>
      </c>
      <c r="H122" s="1" t="s">
        <v>178</v>
      </c>
      <c r="I122" s="10" t="s">
        <v>268</v>
      </c>
    </row>
    <row r="123" spans="1:9" x14ac:dyDescent="0.35">
      <c r="A123" s="4" t="s">
        <v>130</v>
      </c>
      <c r="B123" s="1" t="s">
        <v>164</v>
      </c>
      <c r="C123" s="1" t="s">
        <v>168</v>
      </c>
      <c r="D123" s="1" t="s">
        <v>173</v>
      </c>
      <c r="E123" s="1">
        <v>45676</v>
      </c>
      <c r="F123" s="2">
        <v>42855</v>
      </c>
      <c r="G123" s="1">
        <v>2</v>
      </c>
      <c r="H123" s="1"/>
      <c r="I123" s="10" t="s">
        <v>269</v>
      </c>
    </row>
    <row r="124" spans="1:9" x14ac:dyDescent="0.35">
      <c r="A124" s="4" t="s">
        <v>131</v>
      </c>
      <c r="B124" s="1" t="s">
        <v>165</v>
      </c>
      <c r="C124" s="1" t="s">
        <v>168</v>
      </c>
      <c r="D124" s="1" t="s">
        <v>172</v>
      </c>
      <c r="E124" s="1">
        <v>52036</v>
      </c>
      <c r="F124" s="2">
        <v>42862</v>
      </c>
      <c r="G124" s="1">
        <v>3</v>
      </c>
      <c r="H124" s="1" t="s">
        <v>180</v>
      </c>
      <c r="I124" s="10" t="s">
        <v>270</v>
      </c>
    </row>
    <row r="125" spans="1:9" x14ac:dyDescent="0.35">
      <c r="A125" s="4" t="s">
        <v>132</v>
      </c>
      <c r="B125" s="1" t="s">
        <v>162</v>
      </c>
      <c r="C125" s="1"/>
      <c r="D125" s="1" t="s">
        <v>172</v>
      </c>
      <c r="E125" s="1">
        <v>30357</v>
      </c>
      <c r="F125" s="2">
        <v>42869</v>
      </c>
      <c r="G125" s="1">
        <v>5</v>
      </c>
      <c r="H125" s="1" t="s">
        <v>180</v>
      </c>
      <c r="I125" s="10" t="s">
        <v>248</v>
      </c>
    </row>
    <row r="126" spans="1:9" x14ac:dyDescent="0.35">
      <c r="A126" s="4" t="s">
        <v>133</v>
      </c>
      <c r="B126" s="1" t="s">
        <v>161</v>
      </c>
      <c r="C126" s="1" t="s">
        <v>169</v>
      </c>
      <c r="D126" s="1"/>
      <c r="E126" s="1">
        <v>60034</v>
      </c>
      <c r="F126" s="2">
        <v>42876</v>
      </c>
      <c r="G126" s="1">
        <v>1</v>
      </c>
      <c r="H126" s="1" t="s">
        <v>181</v>
      </c>
      <c r="I126" s="10" t="s">
        <v>271</v>
      </c>
    </row>
    <row r="127" spans="1:9" x14ac:dyDescent="0.35">
      <c r="A127" s="4" t="s">
        <v>134</v>
      </c>
      <c r="B127" s="1" t="s">
        <v>161</v>
      </c>
      <c r="C127" s="1" t="s">
        <v>166</v>
      </c>
      <c r="D127" s="1" t="s">
        <v>171</v>
      </c>
      <c r="E127" s="1">
        <v>90019</v>
      </c>
      <c r="F127" s="2">
        <v>42883</v>
      </c>
      <c r="G127" s="1">
        <v>5</v>
      </c>
      <c r="H127" s="1"/>
      <c r="I127" s="10" t="s">
        <v>272</v>
      </c>
    </row>
    <row r="128" spans="1:9" x14ac:dyDescent="0.35">
      <c r="A128" s="4" t="s">
        <v>135</v>
      </c>
      <c r="B128" s="1" t="s">
        <v>165</v>
      </c>
      <c r="C128" s="1"/>
      <c r="D128" s="1" t="s">
        <v>172</v>
      </c>
      <c r="E128" s="1">
        <v>71494</v>
      </c>
      <c r="F128" s="2">
        <v>42890</v>
      </c>
      <c r="G128" s="1">
        <v>3</v>
      </c>
      <c r="H128" s="1" t="s">
        <v>180</v>
      </c>
      <c r="I128" s="10" t="s">
        <v>273</v>
      </c>
    </row>
    <row r="129" spans="1:9" x14ac:dyDescent="0.35">
      <c r="A129" s="4" t="s">
        <v>136</v>
      </c>
      <c r="B129" s="1" t="s">
        <v>161</v>
      </c>
      <c r="C129" s="1" t="s">
        <v>166</v>
      </c>
      <c r="D129" s="1" t="s">
        <v>173</v>
      </c>
      <c r="E129" s="1">
        <v>91953</v>
      </c>
      <c r="F129" s="2">
        <v>42897</v>
      </c>
      <c r="G129" s="1">
        <v>2</v>
      </c>
      <c r="H129" s="1" t="s">
        <v>180</v>
      </c>
      <c r="I129" s="10" t="s">
        <v>209</v>
      </c>
    </row>
    <row r="130" spans="1:9" x14ac:dyDescent="0.35">
      <c r="A130" s="4" t="s">
        <v>137</v>
      </c>
      <c r="B130" s="1" t="s">
        <v>164</v>
      </c>
      <c r="C130" s="1" t="s">
        <v>168</v>
      </c>
      <c r="D130" s="1" t="s">
        <v>173</v>
      </c>
      <c r="E130" s="1">
        <v>30402</v>
      </c>
      <c r="F130" s="2">
        <v>42904</v>
      </c>
      <c r="G130" s="1">
        <v>1</v>
      </c>
      <c r="H130" s="1"/>
      <c r="I130" s="10" t="s">
        <v>274</v>
      </c>
    </row>
    <row r="131" spans="1:9" x14ac:dyDescent="0.35">
      <c r="A131" s="4" t="s">
        <v>138</v>
      </c>
      <c r="B131" s="1" t="s">
        <v>165</v>
      </c>
      <c r="C131" s="1"/>
      <c r="D131" s="1" t="s">
        <v>175</v>
      </c>
      <c r="E131" s="1">
        <v>62994</v>
      </c>
      <c r="F131" s="2">
        <v>42911</v>
      </c>
      <c r="G131" s="1"/>
      <c r="H131" s="1"/>
      <c r="I131" s="10" t="s">
        <v>221</v>
      </c>
    </row>
    <row r="132" spans="1:9" x14ac:dyDescent="0.35">
      <c r="A132" s="4" t="s">
        <v>139</v>
      </c>
      <c r="B132" s="1" t="s">
        <v>160</v>
      </c>
      <c r="C132" s="1" t="s">
        <v>168</v>
      </c>
      <c r="D132" s="1" t="s">
        <v>174</v>
      </c>
      <c r="E132" s="1">
        <v>48289</v>
      </c>
      <c r="F132" s="1"/>
      <c r="G132" s="1">
        <v>3</v>
      </c>
      <c r="H132" s="1" t="s">
        <v>180</v>
      </c>
      <c r="I132" s="10" t="s">
        <v>189</v>
      </c>
    </row>
    <row r="133" spans="1:9" x14ac:dyDescent="0.35">
      <c r="A133" s="4" t="s">
        <v>140</v>
      </c>
      <c r="B133" s="1" t="s">
        <v>163</v>
      </c>
      <c r="C133" s="1" t="s">
        <v>170</v>
      </c>
      <c r="D133" s="1" t="s">
        <v>172</v>
      </c>
      <c r="E133" s="1">
        <v>34402</v>
      </c>
      <c r="F133" s="2">
        <v>42925</v>
      </c>
      <c r="G133" s="1">
        <v>3</v>
      </c>
      <c r="H133" s="1" t="s">
        <v>179</v>
      </c>
      <c r="I133" s="10" t="s">
        <v>218</v>
      </c>
    </row>
    <row r="134" spans="1:9" x14ac:dyDescent="0.35">
      <c r="A134" s="4" t="s">
        <v>141</v>
      </c>
      <c r="B134" s="1" t="s">
        <v>159</v>
      </c>
      <c r="C134" s="1" t="s">
        <v>167</v>
      </c>
      <c r="D134" s="1" t="s">
        <v>173</v>
      </c>
      <c r="E134" s="1">
        <v>38678</v>
      </c>
      <c r="F134" s="2">
        <v>42932</v>
      </c>
      <c r="G134" s="1">
        <v>3</v>
      </c>
      <c r="H134" s="1" t="s">
        <v>179</v>
      </c>
      <c r="I134" s="10" t="s">
        <v>275</v>
      </c>
    </row>
    <row r="135" spans="1:9" x14ac:dyDescent="0.35">
      <c r="A135" s="4" t="s">
        <v>142</v>
      </c>
      <c r="B135" s="1" t="s">
        <v>164</v>
      </c>
      <c r="C135" s="1" t="s">
        <v>167</v>
      </c>
      <c r="D135" s="1" t="s">
        <v>172</v>
      </c>
      <c r="E135" s="1">
        <v>45758</v>
      </c>
      <c r="F135" s="2">
        <v>42939</v>
      </c>
      <c r="G135" s="1">
        <v>3</v>
      </c>
      <c r="H135" s="1"/>
      <c r="I135" s="10" t="s">
        <v>264</v>
      </c>
    </row>
    <row r="136" spans="1:9" x14ac:dyDescent="0.35">
      <c r="A136" s="4" t="s">
        <v>143</v>
      </c>
      <c r="B136" s="1" t="s">
        <v>159</v>
      </c>
      <c r="C136" s="1" t="s">
        <v>170</v>
      </c>
      <c r="D136" s="1" t="s">
        <v>174</v>
      </c>
      <c r="E136" s="1">
        <v>62476</v>
      </c>
      <c r="F136" s="2">
        <v>42946</v>
      </c>
      <c r="G136" s="1">
        <v>1</v>
      </c>
      <c r="H136" s="1" t="s">
        <v>179</v>
      </c>
      <c r="I136" s="10" t="s">
        <v>231</v>
      </c>
    </row>
    <row r="137" spans="1:9" x14ac:dyDescent="0.35">
      <c r="A137" s="4" t="s">
        <v>144</v>
      </c>
      <c r="B137" s="1"/>
      <c r="C137" s="1" t="s">
        <v>169</v>
      </c>
      <c r="D137" s="1" t="s">
        <v>175</v>
      </c>
      <c r="E137" s="1">
        <v>39280</v>
      </c>
      <c r="F137" s="2">
        <v>42953</v>
      </c>
      <c r="G137" s="1">
        <v>3</v>
      </c>
      <c r="H137" s="1" t="s">
        <v>181</v>
      </c>
      <c r="I137" s="10" t="s">
        <v>214</v>
      </c>
    </row>
    <row r="138" spans="1:9" x14ac:dyDescent="0.35">
      <c r="A138" s="4" t="s">
        <v>145</v>
      </c>
      <c r="B138" s="1" t="s">
        <v>162</v>
      </c>
      <c r="C138" s="1" t="s">
        <v>166</v>
      </c>
      <c r="D138" s="1" t="s">
        <v>174</v>
      </c>
      <c r="E138" s="1">
        <v>60335</v>
      </c>
      <c r="F138" s="2">
        <v>42960</v>
      </c>
      <c r="G138" s="1">
        <v>4</v>
      </c>
      <c r="H138" s="1" t="s">
        <v>179</v>
      </c>
      <c r="I138" s="10" t="s">
        <v>227</v>
      </c>
    </row>
    <row r="139" spans="1:9" x14ac:dyDescent="0.35">
      <c r="A139" s="4" t="s">
        <v>146</v>
      </c>
      <c r="B139" s="1" t="s">
        <v>164</v>
      </c>
      <c r="C139" s="1" t="s">
        <v>167</v>
      </c>
      <c r="D139" s="1" t="s">
        <v>172</v>
      </c>
      <c r="E139" s="1">
        <v>84968</v>
      </c>
      <c r="F139" s="2">
        <v>42967</v>
      </c>
      <c r="G139" s="1"/>
      <c r="H139" s="1"/>
      <c r="I139" s="10" t="s">
        <v>276</v>
      </c>
    </row>
    <row r="140" spans="1:9" x14ac:dyDescent="0.35">
      <c r="A140" s="4" t="s">
        <v>147</v>
      </c>
      <c r="B140" s="1" t="s">
        <v>164</v>
      </c>
      <c r="C140" s="1" t="s">
        <v>170</v>
      </c>
      <c r="D140" s="1" t="s">
        <v>176</v>
      </c>
      <c r="E140" s="1">
        <v>84750</v>
      </c>
      <c r="F140" s="2">
        <v>42974</v>
      </c>
      <c r="G140" s="1">
        <v>4</v>
      </c>
      <c r="H140" s="1" t="s">
        <v>181</v>
      </c>
      <c r="I140" s="10" t="s">
        <v>195</v>
      </c>
    </row>
    <row r="141" spans="1:9" x14ac:dyDescent="0.35">
      <c r="A141" s="4" t="s">
        <v>148</v>
      </c>
      <c r="B141" s="1" t="s">
        <v>165</v>
      </c>
      <c r="C141" s="1" t="s">
        <v>169</v>
      </c>
      <c r="D141" s="1"/>
      <c r="E141" s="1">
        <v>73348</v>
      </c>
      <c r="F141" s="2">
        <v>42981</v>
      </c>
      <c r="G141" s="1">
        <v>2</v>
      </c>
      <c r="H141" s="1"/>
      <c r="I141" s="10" t="s">
        <v>243</v>
      </c>
    </row>
    <row r="142" spans="1:9" x14ac:dyDescent="0.35">
      <c r="A142" s="4" t="s">
        <v>149</v>
      </c>
      <c r="B142" s="1" t="s">
        <v>164</v>
      </c>
      <c r="C142" s="1" t="s">
        <v>168</v>
      </c>
      <c r="D142" s="1" t="s">
        <v>173</v>
      </c>
      <c r="E142" s="1" t="s">
        <v>177</v>
      </c>
      <c r="F142" s="2">
        <v>42988</v>
      </c>
      <c r="G142" s="1">
        <v>4</v>
      </c>
      <c r="H142" s="1" t="s">
        <v>179</v>
      </c>
      <c r="I142" s="10" t="s">
        <v>182</v>
      </c>
    </row>
    <row r="143" spans="1:9" x14ac:dyDescent="0.35">
      <c r="A143" s="4" t="s">
        <v>150</v>
      </c>
      <c r="B143" s="1" t="s">
        <v>162</v>
      </c>
      <c r="C143" s="1" t="s">
        <v>170</v>
      </c>
      <c r="D143" s="1" t="s">
        <v>173</v>
      </c>
      <c r="E143" s="1">
        <v>66882</v>
      </c>
      <c r="F143" s="2">
        <v>42995</v>
      </c>
      <c r="G143" s="1">
        <v>5</v>
      </c>
      <c r="H143" s="1" t="s">
        <v>179</v>
      </c>
      <c r="I143" s="10" t="s">
        <v>207</v>
      </c>
    </row>
    <row r="144" spans="1:9" x14ac:dyDescent="0.35">
      <c r="A144" s="4" t="s">
        <v>151</v>
      </c>
      <c r="B144" s="1" t="s">
        <v>160</v>
      </c>
      <c r="C144" s="1" t="s">
        <v>170</v>
      </c>
      <c r="D144" s="1"/>
      <c r="E144" s="1">
        <v>86775</v>
      </c>
      <c r="F144" s="2">
        <v>43002</v>
      </c>
      <c r="G144" s="1">
        <v>3</v>
      </c>
      <c r="H144" s="1" t="s">
        <v>179</v>
      </c>
      <c r="I144" s="10" t="s">
        <v>212</v>
      </c>
    </row>
    <row r="145" spans="1:9" x14ac:dyDescent="0.35">
      <c r="A145" s="4" t="s">
        <v>152</v>
      </c>
      <c r="B145" s="1" t="s">
        <v>164</v>
      </c>
      <c r="C145" s="1" t="s">
        <v>168</v>
      </c>
      <c r="D145" s="1" t="s">
        <v>175</v>
      </c>
      <c r="E145" s="1">
        <v>91620</v>
      </c>
      <c r="F145" s="2">
        <v>43009</v>
      </c>
      <c r="G145" s="1"/>
      <c r="H145" s="1"/>
      <c r="I145" s="10" t="s">
        <v>277</v>
      </c>
    </row>
    <row r="146" spans="1:9" x14ac:dyDescent="0.35">
      <c r="A146" s="4" t="s">
        <v>153</v>
      </c>
      <c r="B146" s="1" t="s">
        <v>159</v>
      </c>
      <c r="C146" s="1"/>
      <c r="D146" s="1"/>
      <c r="E146" s="1">
        <v>94148</v>
      </c>
      <c r="F146" s="2">
        <v>43016</v>
      </c>
      <c r="G146" s="1">
        <v>2</v>
      </c>
      <c r="H146" s="1"/>
      <c r="I146" s="10" t="s">
        <v>278</v>
      </c>
    </row>
    <row r="147" spans="1:9" x14ac:dyDescent="0.35">
      <c r="A147" s="4" t="s">
        <v>154</v>
      </c>
      <c r="B147" s="1" t="s">
        <v>163</v>
      </c>
      <c r="C147" s="1" t="s">
        <v>168</v>
      </c>
      <c r="D147" s="1" t="s">
        <v>176</v>
      </c>
      <c r="E147" s="1">
        <v>35627</v>
      </c>
      <c r="F147" s="2">
        <v>43023</v>
      </c>
      <c r="G147" s="1">
        <v>5</v>
      </c>
      <c r="H147" s="1" t="s">
        <v>181</v>
      </c>
      <c r="I147" s="10" t="s">
        <v>275</v>
      </c>
    </row>
    <row r="148" spans="1:9" x14ac:dyDescent="0.35">
      <c r="A148" s="4" t="s">
        <v>155</v>
      </c>
      <c r="B148" s="1" t="s">
        <v>161</v>
      </c>
      <c r="C148" s="1" t="s">
        <v>170</v>
      </c>
      <c r="D148" s="1" t="s">
        <v>173</v>
      </c>
      <c r="E148" s="1">
        <v>57141</v>
      </c>
      <c r="F148" s="2">
        <v>43030</v>
      </c>
      <c r="G148" s="1">
        <v>2</v>
      </c>
      <c r="H148" s="1"/>
      <c r="I148" s="10" t="s">
        <v>276</v>
      </c>
    </row>
    <row r="149" spans="1:9" x14ac:dyDescent="0.35">
      <c r="A149" s="4" t="s">
        <v>156</v>
      </c>
      <c r="B149" s="1" t="s">
        <v>165</v>
      </c>
      <c r="C149" s="1" t="s">
        <v>168</v>
      </c>
      <c r="D149" s="1" t="s">
        <v>176</v>
      </c>
      <c r="E149" s="1">
        <v>65270</v>
      </c>
      <c r="F149" s="2">
        <v>43037</v>
      </c>
      <c r="G149" s="1">
        <v>1</v>
      </c>
      <c r="H149" s="1"/>
      <c r="I149" s="10" t="s">
        <v>279</v>
      </c>
    </row>
    <row r="150" spans="1:9" x14ac:dyDescent="0.35">
      <c r="A150" s="4" t="s">
        <v>157</v>
      </c>
      <c r="B150" s="1" t="s">
        <v>165</v>
      </c>
      <c r="C150" s="1"/>
      <c r="D150" s="1" t="s">
        <v>175</v>
      </c>
      <c r="E150" s="1">
        <v>67335</v>
      </c>
      <c r="F150" s="2">
        <v>43044</v>
      </c>
      <c r="G150" s="1">
        <v>1</v>
      </c>
      <c r="H150" s="1" t="s">
        <v>179</v>
      </c>
      <c r="I150" s="10" t="s">
        <v>233</v>
      </c>
    </row>
    <row r="151" spans="1:9" x14ac:dyDescent="0.35">
      <c r="A151" s="7" t="s">
        <v>158</v>
      </c>
      <c r="B151" s="8" t="s">
        <v>163</v>
      </c>
      <c r="C151" s="8" t="s">
        <v>170</v>
      </c>
      <c r="D151" s="8" t="s">
        <v>174</v>
      </c>
      <c r="E151" s="8">
        <v>98475</v>
      </c>
      <c r="F151" s="9">
        <v>43051</v>
      </c>
      <c r="G151" s="8">
        <v>5</v>
      </c>
      <c r="H151" s="8" t="s">
        <v>179</v>
      </c>
      <c r="I151" s="12" t="s">
        <v>280</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DBEF9-54C4-42B4-AF7F-8B930CD2D8AF}">
  <dimension ref="A1:I151"/>
  <sheetViews>
    <sheetView workbookViewId="0"/>
  </sheetViews>
  <sheetFormatPr defaultRowHeight="14.5" x14ac:dyDescent="0.35"/>
  <cols>
    <col min="1" max="1" width="13.26953125" customWidth="1"/>
    <col min="2" max="2" width="11.453125" bestFit="1" customWidth="1"/>
    <col min="3" max="3" width="13.08984375" customWidth="1"/>
    <col min="4" max="4" width="9.54296875" customWidth="1"/>
    <col min="5" max="5" width="7.81640625" style="3" customWidth="1"/>
    <col min="6" max="6" width="17.81640625" bestFit="1" customWidth="1"/>
    <col min="7" max="7" width="19.36328125" customWidth="1"/>
    <col min="8" max="8" width="9" customWidth="1"/>
    <col min="9" max="9" width="20.6328125" bestFit="1" customWidth="1"/>
    <col min="10" max="10" width="11.90625" bestFit="1" customWidth="1"/>
  </cols>
  <sheetData>
    <row r="1" spans="1:9" x14ac:dyDescent="0.35">
      <c r="A1" s="5" t="s">
        <v>0</v>
      </c>
      <c r="B1" s="6" t="s">
        <v>1</v>
      </c>
      <c r="C1" s="6" t="s">
        <v>2</v>
      </c>
      <c r="D1" s="6" t="s">
        <v>3</v>
      </c>
      <c r="E1" s="6" t="s">
        <v>4</v>
      </c>
      <c r="F1" s="6" t="s">
        <v>5</v>
      </c>
      <c r="G1" s="6" t="s">
        <v>6</v>
      </c>
      <c r="H1" s="6" t="s">
        <v>7</v>
      </c>
      <c r="I1" s="6" t="s">
        <v>8</v>
      </c>
    </row>
    <row r="2" spans="1:9" x14ac:dyDescent="0.35">
      <c r="A2" s="4" t="s">
        <v>9</v>
      </c>
      <c r="B2" s="1" t="s">
        <v>178</v>
      </c>
      <c r="C2" s="1" t="s">
        <v>166</v>
      </c>
      <c r="D2" s="1" t="s">
        <v>171</v>
      </c>
      <c r="E2" s="1" t="s">
        <v>177</v>
      </c>
      <c r="F2" s="1"/>
      <c r="G2" s="1">
        <v>2</v>
      </c>
      <c r="H2" s="1" t="s">
        <v>178</v>
      </c>
      <c r="I2" s="1" t="s">
        <v>182</v>
      </c>
    </row>
    <row r="3" spans="1:9" x14ac:dyDescent="0.35">
      <c r="A3" s="4" t="s">
        <v>10</v>
      </c>
      <c r="B3" s="1" t="s">
        <v>159</v>
      </c>
      <c r="C3" s="1" t="s">
        <v>167</v>
      </c>
      <c r="D3" s="1" t="s">
        <v>172</v>
      </c>
      <c r="E3" s="1">
        <v>54255</v>
      </c>
      <c r="F3" s="2">
        <v>42015</v>
      </c>
      <c r="G3" s="1">
        <v>1</v>
      </c>
      <c r="H3" s="1" t="s">
        <v>179</v>
      </c>
      <c r="I3" s="1" t="s">
        <v>183</v>
      </c>
    </row>
    <row r="4" spans="1:9" x14ac:dyDescent="0.35">
      <c r="A4" s="4" t="s">
        <v>11</v>
      </c>
      <c r="B4" s="1" t="s">
        <v>160</v>
      </c>
      <c r="C4" s="1" t="s">
        <v>166</v>
      </c>
      <c r="D4" s="1" t="s">
        <v>172</v>
      </c>
      <c r="E4" s="1">
        <v>63184</v>
      </c>
      <c r="F4" s="2">
        <v>42022</v>
      </c>
      <c r="G4" s="1">
        <v>2</v>
      </c>
      <c r="H4" s="1"/>
      <c r="I4" s="1" t="s">
        <v>184</v>
      </c>
    </row>
    <row r="5" spans="1:9" x14ac:dyDescent="0.35">
      <c r="A5" s="4" t="s">
        <v>12</v>
      </c>
      <c r="B5" s="1" t="s">
        <v>161</v>
      </c>
      <c r="C5" s="1" t="s">
        <v>168</v>
      </c>
      <c r="D5" s="1" t="s">
        <v>173</v>
      </c>
      <c r="E5" s="1">
        <v>94406</v>
      </c>
      <c r="F5" s="2">
        <v>42029</v>
      </c>
      <c r="G5" s="1">
        <v>1</v>
      </c>
      <c r="H5" s="1" t="s">
        <v>180</v>
      </c>
      <c r="I5" s="1" t="s">
        <v>185</v>
      </c>
    </row>
    <row r="6" spans="1:9" x14ac:dyDescent="0.35">
      <c r="A6" s="4" t="s">
        <v>13</v>
      </c>
      <c r="B6" s="1" t="s">
        <v>162</v>
      </c>
      <c r="C6" s="1" t="s">
        <v>168</v>
      </c>
      <c r="D6" s="1" t="s">
        <v>172</v>
      </c>
      <c r="E6" s="1">
        <v>64120</v>
      </c>
      <c r="F6" s="2">
        <v>42036</v>
      </c>
      <c r="G6" s="1">
        <v>1</v>
      </c>
      <c r="H6" s="1" t="s">
        <v>180</v>
      </c>
      <c r="I6" s="1" t="s">
        <v>186</v>
      </c>
    </row>
    <row r="7" spans="1:9" x14ac:dyDescent="0.35">
      <c r="A7" s="4" t="s">
        <v>14</v>
      </c>
      <c r="B7" s="1" t="s">
        <v>160</v>
      </c>
      <c r="C7" s="1" t="s">
        <v>169</v>
      </c>
      <c r="D7" s="1" t="s">
        <v>174</v>
      </c>
      <c r="E7" s="1">
        <v>78421</v>
      </c>
      <c r="F7" s="2">
        <v>42043</v>
      </c>
      <c r="G7" s="1">
        <v>2</v>
      </c>
      <c r="H7" s="1" t="s">
        <v>181</v>
      </c>
      <c r="I7" s="1" t="s">
        <v>187</v>
      </c>
    </row>
    <row r="8" spans="1:9" x14ac:dyDescent="0.35">
      <c r="A8" s="4" t="s">
        <v>15</v>
      </c>
      <c r="B8" s="1" t="s">
        <v>163</v>
      </c>
      <c r="C8" s="1" t="s">
        <v>168</v>
      </c>
      <c r="D8" s="1"/>
      <c r="E8" s="1">
        <v>67721</v>
      </c>
      <c r="F8" s="2">
        <v>42050</v>
      </c>
      <c r="G8" s="1"/>
      <c r="H8" s="1" t="s">
        <v>180</v>
      </c>
      <c r="I8" s="1" t="s">
        <v>185</v>
      </c>
    </row>
    <row r="9" spans="1:9" x14ac:dyDescent="0.35">
      <c r="A9" s="4" t="s">
        <v>16</v>
      </c>
      <c r="B9" s="1" t="s">
        <v>164</v>
      </c>
      <c r="C9" s="1" t="s">
        <v>170</v>
      </c>
      <c r="D9" s="1"/>
      <c r="E9" s="1">
        <v>35364</v>
      </c>
      <c r="F9" s="2">
        <v>42057</v>
      </c>
      <c r="G9" s="1">
        <v>2</v>
      </c>
      <c r="H9" s="1" t="s">
        <v>179</v>
      </c>
      <c r="I9" s="1" t="s">
        <v>188</v>
      </c>
    </row>
    <row r="10" spans="1:9" x14ac:dyDescent="0.35">
      <c r="A10" s="4" t="s">
        <v>17</v>
      </c>
      <c r="B10" s="1" t="s">
        <v>160</v>
      </c>
      <c r="C10" s="1" t="s">
        <v>169</v>
      </c>
      <c r="D10" s="1" t="s">
        <v>172</v>
      </c>
      <c r="E10" s="1">
        <v>97881</v>
      </c>
      <c r="F10" s="2">
        <v>42064</v>
      </c>
      <c r="G10" s="1"/>
      <c r="H10" s="1" t="s">
        <v>181</v>
      </c>
      <c r="I10" s="1" t="s">
        <v>189</v>
      </c>
    </row>
    <row r="11" spans="1:9" x14ac:dyDescent="0.35">
      <c r="A11" s="4" t="s">
        <v>18</v>
      </c>
      <c r="B11" s="1" t="s">
        <v>164</v>
      </c>
      <c r="C11" s="1" t="s">
        <v>167</v>
      </c>
      <c r="D11" s="1" t="s">
        <v>175</v>
      </c>
      <c r="E11" s="1">
        <v>91846</v>
      </c>
      <c r="F11" s="2">
        <v>42071</v>
      </c>
      <c r="G11" s="1"/>
      <c r="H11" s="1" t="s">
        <v>180</v>
      </c>
      <c r="I11" s="1" t="s">
        <v>190</v>
      </c>
    </row>
    <row r="12" spans="1:9" x14ac:dyDescent="0.35">
      <c r="A12" s="4" t="s">
        <v>19</v>
      </c>
      <c r="B12" s="1" t="s">
        <v>163</v>
      </c>
      <c r="C12" s="1" t="s">
        <v>166</v>
      </c>
      <c r="D12" s="1" t="s">
        <v>175</v>
      </c>
      <c r="E12" s="1">
        <v>64247</v>
      </c>
      <c r="F12" s="2">
        <v>42078</v>
      </c>
      <c r="G12" s="1">
        <v>1</v>
      </c>
      <c r="H12" s="1" t="s">
        <v>181</v>
      </c>
      <c r="I12" s="1" t="s">
        <v>191</v>
      </c>
    </row>
    <row r="13" spans="1:9" x14ac:dyDescent="0.35">
      <c r="A13" s="4" t="s">
        <v>20</v>
      </c>
      <c r="B13" s="1" t="s">
        <v>163</v>
      </c>
      <c r="C13" s="1" t="s">
        <v>169</v>
      </c>
      <c r="D13" s="1" t="s">
        <v>173</v>
      </c>
      <c r="E13" s="1">
        <v>91180</v>
      </c>
      <c r="F13" s="2">
        <v>42085</v>
      </c>
      <c r="G13" s="1">
        <v>5</v>
      </c>
      <c r="H13" s="1" t="s">
        <v>180</v>
      </c>
      <c r="I13" s="1" t="s">
        <v>192</v>
      </c>
    </row>
    <row r="14" spans="1:9" x14ac:dyDescent="0.35">
      <c r="A14" s="4" t="s">
        <v>21</v>
      </c>
      <c r="B14" s="1" t="s">
        <v>165</v>
      </c>
      <c r="C14" s="1" t="s">
        <v>168</v>
      </c>
      <c r="D14" s="1"/>
      <c r="E14" s="1">
        <v>96418</v>
      </c>
      <c r="F14" s="2">
        <v>42092</v>
      </c>
      <c r="G14" s="1">
        <v>5</v>
      </c>
      <c r="H14" s="1" t="s">
        <v>180</v>
      </c>
      <c r="I14" s="1" t="s">
        <v>183</v>
      </c>
    </row>
    <row r="15" spans="1:9" x14ac:dyDescent="0.35">
      <c r="A15" s="4" t="s">
        <v>22</v>
      </c>
      <c r="B15" s="1" t="s">
        <v>163</v>
      </c>
      <c r="C15" s="1"/>
      <c r="D15" s="1" t="s">
        <v>174</v>
      </c>
      <c r="E15" s="1">
        <v>62158</v>
      </c>
      <c r="F15" s="2">
        <v>42099</v>
      </c>
      <c r="G15" s="1">
        <v>4</v>
      </c>
      <c r="H15" s="1"/>
      <c r="I15" s="1" t="s">
        <v>193</v>
      </c>
    </row>
    <row r="16" spans="1:9" x14ac:dyDescent="0.35">
      <c r="A16" s="4" t="s">
        <v>23</v>
      </c>
      <c r="B16" s="1" t="s">
        <v>162</v>
      </c>
      <c r="C16" s="1" t="s">
        <v>167</v>
      </c>
      <c r="D16" s="1"/>
      <c r="E16" s="1">
        <v>59894</v>
      </c>
      <c r="F16" s="2">
        <v>42106</v>
      </c>
      <c r="G16" s="1">
        <v>2</v>
      </c>
      <c r="H16" s="1" t="s">
        <v>180</v>
      </c>
      <c r="I16" s="1" t="s">
        <v>194</v>
      </c>
    </row>
    <row r="17" spans="1:9" x14ac:dyDescent="0.35">
      <c r="A17" s="4" t="s">
        <v>24</v>
      </c>
      <c r="B17" s="1" t="s">
        <v>178</v>
      </c>
      <c r="C17" s="1" t="s">
        <v>169</v>
      </c>
      <c r="D17" s="1" t="s">
        <v>174</v>
      </c>
      <c r="E17" s="1">
        <v>92443</v>
      </c>
      <c r="F17" s="2">
        <v>42113</v>
      </c>
      <c r="G17" s="1">
        <v>3</v>
      </c>
      <c r="H17" s="1" t="s">
        <v>179</v>
      </c>
      <c r="I17" s="1" t="s">
        <v>195</v>
      </c>
    </row>
    <row r="18" spans="1:9" x14ac:dyDescent="0.35">
      <c r="A18" s="4" t="s">
        <v>25</v>
      </c>
      <c r="B18" s="1" t="s">
        <v>165</v>
      </c>
      <c r="C18" s="1"/>
      <c r="D18" s="1" t="s">
        <v>172</v>
      </c>
      <c r="E18" s="1">
        <v>90271</v>
      </c>
      <c r="F18" s="2">
        <v>42120</v>
      </c>
      <c r="G18" s="1"/>
      <c r="H18" s="1"/>
      <c r="I18" s="1" t="s">
        <v>196</v>
      </c>
    </row>
    <row r="19" spans="1:9" x14ac:dyDescent="0.35">
      <c r="A19" s="4" t="s">
        <v>26</v>
      </c>
      <c r="B19" s="1" t="s">
        <v>162</v>
      </c>
      <c r="C19" s="1" t="s">
        <v>166</v>
      </c>
      <c r="D19" s="1" t="s">
        <v>176</v>
      </c>
      <c r="E19" s="1">
        <v>41341</v>
      </c>
      <c r="F19" s="2">
        <v>42127</v>
      </c>
      <c r="G19" s="1">
        <v>1</v>
      </c>
      <c r="H19" s="1" t="s">
        <v>179</v>
      </c>
      <c r="I19" s="1" t="s">
        <v>197</v>
      </c>
    </row>
    <row r="20" spans="1:9" x14ac:dyDescent="0.35">
      <c r="A20" s="4" t="s">
        <v>27</v>
      </c>
      <c r="B20" s="1" t="s">
        <v>160</v>
      </c>
      <c r="C20" s="1" t="s">
        <v>166</v>
      </c>
      <c r="D20" s="1" t="s">
        <v>175</v>
      </c>
      <c r="E20" s="1">
        <v>73602</v>
      </c>
      <c r="F20" s="2">
        <v>42134</v>
      </c>
      <c r="G20" s="1"/>
      <c r="H20" s="1"/>
      <c r="I20" s="1" t="s">
        <v>198</v>
      </c>
    </row>
    <row r="21" spans="1:9" x14ac:dyDescent="0.35">
      <c r="A21" s="4" t="s">
        <v>28</v>
      </c>
      <c r="B21" s="1" t="s">
        <v>159</v>
      </c>
      <c r="C21" s="1"/>
      <c r="D21" s="1" t="s">
        <v>174</v>
      </c>
      <c r="E21" s="1">
        <v>67531</v>
      </c>
      <c r="F21" s="2">
        <v>42141</v>
      </c>
      <c r="G21" s="1">
        <v>5</v>
      </c>
      <c r="H21" s="1" t="s">
        <v>181</v>
      </c>
      <c r="I21" s="1" t="s">
        <v>199</v>
      </c>
    </row>
    <row r="22" spans="1:9" x14ac:dyDescent="0.35">
      <c r="A22" s="4" t="s">
        <v>29</v>
      </c>
      <c r="B22" s="1" t="s">
        <v>162</v>
      </c>
      <c r="C22" s="1" t="s">
        <v>167</v>
      </c>
      <c r="D22" s="1" t="s">
        <v>173</v>
      </c>
      <c r="E22" s="1" t="s">
        <v>177</v>
      </c>
      <c r="F22" s="2">
        <v>42148</v>
      </c>
      <c r="G22" s="1">
        <v>2</v>
      </c>
      <c r="H22" s="1" t="s">
        <v>179</v>
      </c>
      <c r="I22" s="1" t="s">
        <v>200</v>
      </c>
    </row>
    <row r="23" spans="1:9" x14ac:dyDescent="0.35">
      <c r="A23" s="4" t="s">
        <v>30</v>
      </c>
      <c r="B23" s="1" t="s">
        <v>162</v>
      </c>
      <c r="C23" s="1" t="s">
        <v>167</v>
      </c>
      <c r="D23" s="1"/>
      <c r="E23" s="1">
        <v>98922</v>
      </c>
      <c r="F23" s="2">
        <v>42155</v>
      </c>
      <c r="G23" s="1">
        <v>4</v>
      </c>
      <c r="H23" s="1"/>
      <c r="I23" s="1" t="s">
        <v>201</v>
      </c>
    </row>
    <row r="24" spans="1:9" x14ac:dyDescent="0.35">
      <c r="A24" s="4" t="s">
        <v>31</v>
      </c>
      <c r="B24" s="1" t="s">
        <v>159</v>
      </c>
      <c r="C24" s="1" t="s">
        <v>166</v>
      </c>
      <c r="D24" s="1" t="s">
        <v>174</v>
      </c>
      <c r="E24" s="1">
        <v>38333</v>
      </c>
      <c r="F24" s="2">
        <v>42162</v>
      </c>
      <c r="G24" s="1">
        <v>5</v>
      </c>
      <c r="H24" s="1"/>
      <c r="I24" s="1" t="s">
        <v>202</v>
      </c>
    </row>
    <row r="25" spans="1:9" x14ac:dyDescent="0.35">
      <c r="A25" s="4" t="s">
        <v>32</v>
      </c>
      <c r="B25" s="1" t="s">
        <v>160</v>
      </c>
      <c r="C25" s="1" t="s">
        <v>170</v>
      </c>
      <c r="D25" s="1" t="s">
        <v>175</v>
      </c>
      <c r="E25" s="1">
        <v>36515</v>
      </c>
      <c r="F25" s="2">
        <v>42169</v>
      </c>
      <c r="G25" s="1">
        <v>3</v>
      </c>
      <c r="H25" s="1" t="s">
        <v>180</v>
      </c>
      <c r="I25" s="1" t="s">
        <v>203</v>
      </c>
    </row>
    <row r="26" spans="1:9" x14ac:dyDescent="0.35">
      <c r="A26" s="4" t="s">
        <v>33</v>
      </c>
      <c r="B26" s="1" t="s">
        <v>163</v>
      </c>
      <c r="C26" s="1" t="s">
        <v>166</v>
      </c>
      <c r="D26" s="1"/>
      <c r="E26" s="1">
        <v>91005</v>
      </c>
      <c r="F26" s="2">
        <v>42176</v>
      </c>
      <c r="G26" s="1">
        <v>1</v>
      </c>
      <c r="H26" s="1" t="s">
        <v>179</v>
      </c>
      <c r="I26" s="1" t="s">
        <v>204</v>
      </c>
    </row>
    <row r="27" spans="1:9" x14ac:dyDescent="0.35">
      <c r="A27" s="4" t="s">
        <v>34</v>
      </c>
      <c r="B27" s="1" t="s">
        <v>164</v>
      </c>
      <c r="C27" s="1"/>
      <c r="D27" s="1" t="s">
        <v>171</v>
      </c>
      <c r="E27" s="1">
        <v>52272</v>
      </c>
      <c r="F27" s="2">
        <v>42183</v>
      </c>
      <c r="G27" s="1">
        <v>3</v>
      </c>
      <c r="H27" s="1"/>
      <c r="I27" s="1" t="s">
        <v>205</v>
      </c>
    </row>
    <row r="28" spans="1:9" x14ac:dyDescent="0.35">
      <c r="A28" s="4" t="s">
        <v>35</v>
      </c>
      <c r="B28" s="1" t="s">
        <v>159</v>
      </c>
      <c r="C28" s="1" t="s">
        <v>168</v>
      </c>
      <c r="D28" s="1" t="s">
        <v>172</v>
      </c>
      <c r="E28" s="1">
        <v>76518</v>
      </c>
      <c r="F28" s="2">
        <v>42190</v>
      </c>
      <c r="G28" s="1">
        <v>2</v>
      </c>
      <c r="H28" s="1" t="s">
        <v>181</v>
      </c>
      <c r="I28" s="1" t="s">
        <v>206</v>
      </c>
    </row>
    <row r="29" spans="1:9" x14ac:dyDescent="0.35">
      <c r="A29" s="4" t="s">
        <v>36</v>
      </c>
      <c r="B29" s="1" t="s">
        <v>160</v>
      </c>
      <c r="C29" s="1" t="s">
        <v>169</v>
      </c>
      <c r="D29" s="1" t="s">
        <v>175</v>
      </c>
      <c r="E29" s="1">
        <v>41448</v>
      </c>
      <c r="F29" s="2">
        <v>42197</v>
      </c>
      <c r="G29" s="1">
        <v>3</v>
      </c>
      <c r="H29" s="1" t="s">
        <v>179</v>
      </c>
      <c r="I29" s="1" t="s">
        <v>207</v>
      </c>
    </row>
    <row r="30" spans="1:9" x14ac:dyDescent="0.35">
      <c r="A30" s="4" t="s">
        <v>37</v>
      </c>
      <c r="B30" s="1" t="s">
        <v>161</v>
      </c>
      <c r="C30" s="1" t="s">
        <v>167</v>
      </c>
      <c r="D30" s="1" t="s">
        <v>175</v>
      </c>
      <c r="E30" s="1">
        <v>49282</v>
      </c>
      <c r="F30" s="2">
        <v>42204</v>
      </c>
      <c r="G30" s="1">
        <v>2</v>
      </c>
      <c r="H30" s="1" t="s">
        <v>181</v>
      </c>
      <c r="I30" s="1" t="s">
        <v>208</v>
      </c>
    </row>
    <row r="31" spans="1:9" x14ac:dyDescent="0.35">
      <c r="A31" s="4" t="s">
        <v>38</v>
      </c>
      <c r="B31" s="1" t="s">
        <v>165</v>
      </c>
      <c r="C31" s="1" t="s">
        <v>170</v>
      </c>
      <c r="D31" s="1" t="s">
        <v>175</v>
      </c>
      <c r="E31" s="1">
        <v>92959</v>
      </c>
      <c r="F31" s="2">
        <v>42211</v>
      </c>
      <c r="G31" s="1">
        <v>5</v>
      </c>
      <c r="H31" s="1"/>
      <c r="I31" s="1" t="s">
        <v>209</v>
      </c>
    </row>
    <row r="32" spans="1:9" x14ac:dyDescent="0.35">
      <c r="A32" s="4" t="s">
        <v>39</v>
      </c>
      <c r="B32" s="1" t="s">
        <v>178</v>
      </c>
      <c r="C32" s="1" t="s">
        <v>170</v>
      </c>
      <c r="D32" s="1"/>
      <c r="E32" s="1">
        <v>92259</v>
      </c>
      <c r="F32" s="1"/>
      <c r="G32" s="1">
        <v>1</v>
      </c>
      <c r="H32" s="1" t="s">
        <v>178</v>
      </c>
      <c r="I32" s="1" t="s">
        <v>210</v>
      </c>
    </row>
    <row r="33" spans="1:9" x14ac:dyDescent="0.35">
      <c r="A33" s="4" t="s">
        <v>40</v>
      </c>
      <c r="B33" s="1" t="s">
        <v>159</v>
      </c>
      <c r="C33" s="1" t="s">
        <v>167</v>
      </c>
      <c r="D33" s="1" t="s">
        <v>172</v>
      </c>
      <c r="E33" s="1">
        <v>92299</v>
      </c>
      <c r="F33" s="2">
        <v>42225</v>
      </c>
      <c r="G33" s="1">
        <v>3</v>
      </c>
      <c r="H33" s="1" t="s">
        <v>180</v>
      </c>
      <c r="I33" s="1" t="s">
        <v>211</v>
      </c>
    </row>
    <row r="34" spans="1:9" x14ac:dyDescent="0.35">
      <c r="A34" s="4" t="s">
        <v>41</v>
      </c>
      <c r="B34" s="1" t="s">
        <v>163</v>
      </c>
      <c r="C34" s="1" t="s">
        <v>167</v>
      </c>
      <c r="D34" s="1"/>
      <c r="E34" s="1">
        <v>95586</v>
      </c>
      <c r="F34" s="2">
        <v>42232</v>
      </c>
      <c r="G34" s="1">
        <v>3</v>
      </c>
      <c r="H34" s="1" t="s">
        <v>179</v>
      </c>
      <c r="I34" s="1" t="s">
        <v>212</v>
      </c>
    </row>
    <row r="35" spans="1:9" x14ac:dyDescent="0.35">
      <c r="A35" s="4" t="s">
        <v>42</v>
      </c>
      <c r="B35" s="1" t="s">
        <v>164</v>
      </c>
      <c r="C35" s="1"/>
      <c r="D35" s="1" t="s">
        <v>173</v>
      </c>
      <c r="E35" s="1">
        <v>95367</v>
      </c>
      <c r="F35" s="2">
        <v>42239</v>
      </c>
      <c r="G35" s="1"/>
      <c r="H35" s="1" t="s">
        <v>180</v>
      </c>
      <c r="I35" s="1" t="s">
        <v>213</v>
      </c>
    </row>
    <row r="36" spans="1:9" x14ac:dyDescent="0.35">
      <c r="A36" s="4" t="s">
        <v>43</v>
      </c>
      <c r="B36" s="1" t="s">
        <v>161</v>
      </c>
      <c r="C36" s="1" t="s">
        <v>168</v>
      </c>
      <c r="D36" s="1" t="s">
        <v>176</v>
      </c>
      <c r="E36" s="1">
        <v>79549</v>
      </c>
      <c r="F36" s="2">
        <v>42246</v>
      </c>
      <c r="G36" s="1">
        <v>3</v>
      </c>
      <c r="H36" s="1"/>
      <c r="I36" s="1" t="s">
        <v>214</v>
      </c>
    </row>
    <row r="37" spans="1:9" x14ac:dyDescent="0.35">
      <c r="A37" s="4" t="s">
        <v>44</v>
      </c>
      <c r="B37" s="1" t="s">
        <v>160</v>
      </c>
      <c r="C37" s="1"/>
      <c r="D37" s="1" t="s">
        <v>175</v>
      </c>
      <c r="E37" s="1">
        <v>54463</v>
      </c>
      <c r="F37" s="2">
        <v>42253</v>
      </c>
      <c r="G37" s="1">
        <v>4</v>
      </c>
      <c r="H37" s="1" t="s">
        <v>180</v>
      </c>
      <c r="I37" s="1" t="s">
        <v>182</v>
      </c>
    </row>
    <row r="38" spans="1:9" x14ac:dyDescent="0.35">
      <c r="A38" s="4" t="s">
        <v>45</v>
      </c>
      <c r="B38" s="1" t="s">
        <v>160</v>
      </c>
      <c r="C38" s="1" t="s">
        <v>169</v>
      </c>
      <c r="D38" s="1" t="s">
        <v>173</v>
      </c>
      <c r="E38" s="1">
        <v>89781</v>
      </c>
      <c r="F38" s="2">
        <v>42260</v>
      </c>
      <c r="G38" s="1"/>
      <c r="H38" s="1" t="s">
        <v>181</v>
      </c>
      <c r="I38" s="1" t="s">
        <v>215</v>
      </c>
    </row>
    <row r="39" spans="1:9" x14ac:dyDescent="0.35">
      <c r="A39" s="4" t="s">
        <v>46</v>
      </c>
      <c r="B39" s="1" t="s">
        <v>160</v>
      </c>
      <c r="C39" s="1" t="s">
        <v>167</v>
      </c>
      <c r="D39" s="1"/>
      <c r="E39" s="1">
        <v>64796</v>
      </c>
      <c r="F39" s="2">
        <v>42267</v>
      </c>
      <c r="G39" s="1"/>
      <c r="H39" s="1" t="s">
        <v>179</v>
      </c>
      <c r="I39" s="1" t="s">
        <v>216</v>
      </c>
    </row>
    <row r="40" spans="1:9" x14ac:dyDescent="0.35">
      <c r="A40" s="4" t="s">
        <v>47</v>
      </c>
      <c r="B40" s="1" t="s">
        <v>161</v>
      </c>
      <c r="C40" s="1" t="s">
        <v>170</v>
      </c>
      <c r="D40" s="1" t="s">
        <v>175</v>
      </c>
      <c r="E40" s="1">
        <v>52093</v>
      </c>
      <c r="F40" s="2">
        <v>42274</v>
      </c>
      <c r="G40" s="1">
        <v>5</v>
      </c>
      <c r="H40" s="1"/>
      <c r="I40" s="1" t="s">
        <v>217</v>
      </c>
    </row>
    <row r="41" spans="1:9" x14ac:dyDescent="0.35">
      <c r="A41" s="4" t="s">
        <v>48</v>
      </c>
      <c r="B41" s="1" t="s">
        <v>164</v>
      </c>
      <c r="C41" s="1" t="s">
        <v>167</v>
      </c>
      <c r="D41" s="1" t="s">
        <v>175</v>
      </c>
      <c r="E41" s="1">
        <v>48224</v>
      </c>
      <c r="F41" s="2">
        <v>42281</v>
      </c>
      <c r="G41" s="1">
        <v>3</v>
      </c>
      <c r="H41" s="1"/>
      <c r="I41" s="1" t="s">
        <v>218</v>
      </c>
    </row>
    <row r="42" spans="1:9" x14ac:dyDescent="0.35">
      <c r="A42" s="4" t="s">
        <v>49</v>
      </c>
      <c r="B42" s="1" t="s">
        <v>165</v>
      </c>
      <c r="C42" s="1" t="s">
        <v>166</v>
      </c>
      <c r="D42" s="1" t="s">
        <v>175</v>
      </c>
      <c r="E42" s="1" t="s">
        <v>177</v>
      </c>
      <c r="F42" s="1"/>
      <c r="G42" s="1">
        <v>4</v>
      </c>
      <c r="H42" s="1" t="s">
        <v>181</v>
      </c>
      <c r="I42" s="1" t="s">
        <v>219</v>
      </c>
    </row>
    <row r="43" spans="1:9" x14ac:dyDescent="0.35">
      <c r="A43" s="4" t="s">
        <v>50</v>
      </c>
      <c r="B43" s="1" t="s">
        <v>160</v>
      </c>
      <c r="C43" s="1" t="s">
        <v>169</v>
      </c>
      <c r="D43" s="1" t="s">
        <v>172</v>
      </c>
      <c r="E43" s="1">
        <v>33956</v>
      </c>
      <c r="F43" s="2">
        <v>42295</v>
      </c>
      <c r="G43" s="1"/>
      <c r="H43" s="1"/>
      <c r="I43" s="1" t="s">
        <v>220</v>
      </c>
    </row>
    <row r="44" spans="1:9" x14ac:dyDescent="0.35">
      <c r="A44" s="4" t="s">
        <v>51</v>
      </c>
      <c r="B44" s="1" t="s">
        <v>165</v>
      </c>
      <c r="C44" s="1"/>
      <c r="D44" s="1" t="s">
        <v>176</v>
      </c>
      <c r="E44" s="1">
        <v>64913</v>
      </c>
      <c r="F44" s="2">
        <v>42302</v>
      </c>
      <c r="G44" s="1">
        <v>1</v>
      </c>
      <c r="H44" s="1" t="s">
        <v>181</v>
      </c>
      <c r="I44" s="1" t="s">
        <v>221</v>
      </c>
    </row>
    <row r="45" spans="1:9" x14ac:dyDescent="0.35">
      <c r="A45" s="4" t="s">
        <v>52</v>
      </c>
      <c r="B45" s="1" t="s">
        <v>160</v>
      </c>
      <c r="C45" s="1" t="s">
        <v>170</v>
      </c>
      <c r="D45" s="1" t="s">
        <v>176</v>
      </c>
      <c r="E45" s="1">
        <v>35326</v>
      </c>
      <c r="F45" s="2">
        <v>42309</v>
      </c>
      <c r="G45" s="1"/>
      <c r="H45" s="1" t="s">
        <v>181</v>
      </c>
      <c r="I45" s="1" t="s">
        <v>222</v>
      </c>
    </row>
    <row r="46" spans="1:9" x14ac:dyDescent="0.35">
      <c r="A46" s="4" t="s">
        <v>53</v>
      </c>
      <c r="B46" s="1" t="s">
        <v>164</v>
      </c>
      <c r="C46" s="1" t="s">
        <v>166</v>
      </c>
      <c r="D46" s="1"/>
      <c r="E46" s="1">
        <v>81610</v>
      </c>
      <c r="F46" s="2">
        <v>42316</v>
      </c>
      <c r="G46" s="1">
        <v>1</v>
      </c>
      <c r="H46" s="1"/>
      <c r="I46" s="1" t="s">
        <v>223</v>
      </c>
    </row>
    <row r="47" spans="1:9" x14ac:dyDescent="0.35">
      <c r="A47" s="4" t="s">
        <v>54</v>
      </c>
      <c r="B47" s="1" t="s">
        <v>178</v>
      </c>
      <c r="C47" s="1" t="s">
        <v>167</v>
      </c>
      <c r="D47" s="1"/>
      <c r="E47" s="1">
        <v>58962</v>
      </c>
      <c r="F47" s="2">
        <v>42323</v>
      </c>
      <c r="G47" s="1">
        <v>3</v>
      </c>
      <c r="H47" s="1" t="s">
        <v>179</v>
      </c>
      <c r="I47" s="1" t="s">
        <v>183</v>
      </c>
    </row>
    <row r="48" spans="1:9" x14ac:dyDescent="0.35">
      <c r="A48" s="4" t="s">
        <v>55</v>
      </c>
      <c r="B48" s="1" t="s">
        <v>164</v>
      </c>
      <c r="C48" s="1" t="s">
        <v>169</v>
      </c>
      <c r="D48" s="1" t="s">
        <v>172</v>
      </c>
      <c r="E48" s="1">
        <v>92701</v>
      </c>
      <c r="F48" s="2">
        <v>42330</v>
      </c>
      <c r="G48" s="1">
        <v>3</v>
      </c>
      <c r="H48" s="1" t="s">
        <v>179</v>
      </c>
      <c r="I48" s="1" t="s">
        <v>224</v>
      </c>
    </row>
    <row r="49" spans="1:9" x14ac:dyDescent="0.35">
      <c r="A49" s="4" t="s">
        <v>56</v>
      </c>
      <c r="B49" s="1" t="s">
        <v>164</v>
      </c>
      <c r="C49" s="1" t="s">
        <v>167</v>
      </c>
      <c r="D49" s="1" t="s">
        <v>174</v>
      </c>
      <c r="E49" s="1">
        <v>58245</v>
      </c>
      <c r="F49" s="2">
        <v>42337</v>
      </c>
      <c r="G49" s="1">
        <v>4</v>
      </c>
      <c r="H49" s="1"/>
      <c r="I49" s="1" t="s">
        <v>225</v>
      </c>
    </row>
    <row r="50" spans="1:9" x14ac:dyDescent="0.35">
      <c r="A50" s="4" t="s">
        <v>57</v>
      </c>
      <c r="B50" s="1" t="s">
        <v>161</v>
      </c>
      <c r="C50" s="1" t="s">
        <v>166</v>
      </c>
      <c r="D50" s="1"/>
      <c r="E50" s="1">
        <v>66513</v>
      </c>
      <c r="F50" s="2">
        <v>42344</v>
      </c>
      <c r="G50" s="1">
        <v>2</v>
      </c>
      <c r="H50" s="1" t="s">
        <v>179</v>
      </c>
      <c r="I50" s="1" t="s">
        <v>187</v>
      </c>
    </row>
    <row r="51" spans="1:9" x14ac:dyDescent="0.35">
      <c r="A51" s="4" t="s">
        <v>58</v>
      </c>
      <c r="B51" s="1" t="s">
        <v>159</v>
      </c>
      <c r="C51" s="1" t="s">
        <v>167</v>
      </c>
      <c r="D51" s="1" t="s">
        <v>172</v>
      </c>
      <c r="E51" s="1">
        <v>78720</v>
      </c>
      <c r="F51" s="2">
        <v>42351</v>
      </c>
      <c r="G51" s="1">
        <v>5</v>
      </c>
      <c r="H51" s="1" t="s">
        <v>181</v>
      </c>
      <c r="I51" s="1" t="s">
        <v>219</v>
      </c>
    </row>
    <row r="52" spans="1:9" x14ac:dyDescent="0.35">
      <c r="A52" s="4" t="s">
        <v>59</v>
      </c>
      <c r="B52" s="1" t="s">
        <v>164</v>
      </c>
      <c r="C52" s="1"/>
      <c r="D52" s="1" t="s">
        <v>171</v>
      </c>
      <c r="E52" s="1">
        <v>30686</v>
      </c>
      <c r="F52" s="1"/>
      <c r="G52" s="1">
        <v>2</v>
      </c>
      <c r="H52" s="1" t="s">
        <v>181</v>
      </c>
      <c r="I52" s="1" t="s">
        <v>226</v>
      </c>
    </row>
    <row r="53" spans="1:9" x14ac:dyDescent="0.35">
      <c r="A53" s="4" t="s">
        <v>60</v>
      </c>
      <c r="B53" s="1" t="s">
        <v>163</v>
      </c>
      <c r="C53" s="1" t="s">
        <v>168</v>
      </c>
      <c r="D53" s="1" t="s">
        <v>174</v>
      </c>
      <c r="E53" s="1">
        <v>39423</v>
      </c>
      <c r="F53" s="2">
        <v>42365</v>
      </c>
      <c r="G53" s="1">
        <v>5</v>
      </c>
      <c r="H53" s="1"/>
      <c r="I53" s="1" t="s">
        <v>227</v>
      </c>
    </row>
    <row r="54" spans="1:9" x14ac:dyDescent="0.35">
      <c r="A54" s="4" t="s">
        <v>61</v>
      </c>
      <c r="B54" s="1" t="s">
        <v>159</v>
      </c>
      <c r="C54" s="1" t="s">
        <v>170</v>
      </c>
      <c r="D54" s="1"/>
      <c r="E54" s="1">
        <v>30280</v>
      </c>
      <c r="F54" s="2">
        <v>42372</v>
      </c>
      <c r="G54" s="1">
        <v>1</v>
      </c>
      <c r="H54" s="1"/>
      <c r="I54" s="1" t="s">
        <v>228</v>
      </c>
    </row>
    <row r="55" spans="1:9" x14ac:dyDescent="0.35">
      <c r="A55" s="4" t="s">
        <v>62</v>
      </c>
      <c r="B55" s="1" t="s">
        <v>159</v>
      </c>
      <c r="C55" s="1" t="s">
        <v>166</v>
      </c>
      <c r="D55" s="1" t="s">
        <v>175</v>
      </c>
      <c r="E55" s="1">
        <v>33352</v>
      </c>
      <c r="F55" s="2">
        <v>42379</v>
      </c>
      <c r="G55" s="1">
        <v>3</v>
      </c>
      <c r="H55" s="1" t="s">
        <v>181</v>
      </c>
      <c r="I55" s="1" t="s">
        <v>200</v>
      </c>
    </row>
    <row r="56" spans="1:9" x14ac:dyDescent="0.35">
      <c r="A56" s="4" t="s">
        <v>63</v>
      </c>
      <c r="B56" s="1" t="s">
        <v>165</v>
      </c>
      <c r="C56" s="1" t="s">
        <v>170</v>
      </c>
      <c r="D56" s="1" t="s">
        <v>175</v>
      </c>
      <c r="E56" s="1">
        <v>75633</v>
      </c>
      <c r="F56" s="2">
        <v>42386</v>
      </c>
      <c r="G56" s="1">
        <v>5</v>
      </c>
      <c r="H56" s="1" t="s">
        <v>179</v>
      </c>
      <c r="I56" s="1" t="s">
        <v>229</v>
      </c>
    </row>
    <row r="57" spans="1:9" x14ac:dyDescent="0.35">
      <c r="A57" s="4" t="s">
        <v>64</v>
      </c>
      <c r="B57" s="1" t="s">
        <v>164</v>
      </c>
      <c r="C57" s="1"/>
      <c r="D57" s="1" t="s">
        <v>173</v>
      </c>
      <c r="E57" s="1">
        <v>74815</v>
      </c>
      <c r="F57" s="2">
        <v>42393</v>
      </c>
      <c r="G57" s="1">
        <v>5</v>
      </c>
      <c r="H57" s="1" t="s">
        <v>181</v>
      </c>
      <c r="I57" s="1" t="s">
        <v>230</v>
      </c>
    </row>
    <row r="58" spans="1:9" x14ac:dyDescent="0.35">
      <c r="A58" s="4" t="s">
        <v>65</v>
      </c>
      <c r="B58" s="1" t="s">
        <v>161</v>
      </c>
      <c r="C58" s="1" t="s">
        <v>168</v>
      </c>
      <c r="D58" s="1" t="s">
        <v>176</v>
      </c>
      <c r="E58" s="1">
        <v>60011</v>
      </c>
      <c r="F58" s="2">
        <v>42400</v>
      </c>
      <c r="G58" s="1">
        <v>1</v>
      </c>
      <c r="H58" s="1" t="s">
        <v>180</v>
      </c>
      <c r="I58" s="1" t="s">
        <v>231</v>
      </c>
    </row>
    <row r="59" spans="1:9" x14ac:dyDescent="0.35">
      <c r="A59" s="4" t="s">
        <v>66</v>
      </c>
      <c r="B59" s="1" t="s">
        <v>159</v>
      </c>
      <c r="C59" s="1"/>
      <c r="D59" s="1" t="s">
        <v>174</v>
      </c>
      <c r="E59" s="1">
        <v>96949</v>
      </c>
      <c r="F59" s="2">
        <v>42407</v>
      </c>
      <c r="G59" s="1">
        <v>3</v>
      </c>
      <c r="H59" s="1"/>
      <c r="I59" s="1" t="s">
        <v>207</v>
      </c>
    </row>
    <row r="60" spans="1:9" x14ac:dyDescent="0.35">
      <c r="A60" s="4" t="s">
        <v>67</v>
      </c>
      <c r="B60" s="1" t="s">
        <v>163</v>
      </c>
      <c r="C60" s="1" t="s">
        <v>170</v>
      </c>
      <c r="D60" s="1"/>
      <c r="E60" s="1">
        <v>84924</v>
      </c>
      <c r="F60" s="2">
        <v>42414</v>
      </c>
      <c r="G60" s="1">
        <v>5</v>
      </c>
      <c r="H60" s="1" t="s">
        <v>180</v>
      </c>
      <c r="I60" s="1" t="s">
        <v>232</v>
      </c>
    </row>
    <row r="61" spans="1:9" x14ac:dyDescent="0.35">
      <c r="A61" s="4" t="s">
        <v>68</v>
      </c>
      <c r="B61" s="1" t="s">
        <v>163</v>
      </c>
      <c r="C61" s="1" t="s">
        <v>166</v>
      </c>
      <c r="D61" s="1" t="s">
        <v>173</v>
      </c>
      <c r="E61" s="1">
        <v>82033</v>
      </c>
      <c r="F61" s="2">
        <v>42421</v>
      </c>
      <c r="G61" s="1">
        <v>1</v>
      </c>
      <c r="H61" s="1"/>
      <c r="I61" s="1" t="s">
        <v>223</v>
      </c>
    </row>
    <row r="62" spans="1:9" x14ac:dyDescent="0.35">
      <c r="A62" s="4" t="s">
        <v>69</v>
      </c>
      <c r="B62" s="1" t="s">
        <v>178</v>
      </c>
      <c r="C62" s="1" t="s">
        <v>170</v>
      </c>
      <c r="D62" s="1" t="s">
        <v>172</v>
      </c>
      <c r="E62" s="1" t="s">
        <v>177</v>
      </c>
      <c r="F62" s="1"/>
      <c r="G62" s="1">
        <v>5</v>
      </c>
      <c r="H62" s="1" t="s">
        <v>178</v>
      </c>
      <c r="I62" s="1" t="s">
        <v>233</v>
      </c>
    </row>
    <row r="63" spans="1:9" x14ac:dyDescent="0.35">
      <c r="A63" s="4" t="s">
        <v>70</v>
      </c>
      <c r="B63" s="1" t="s">
        <v>159</v>
      </c>
      <c r="C63" s="1"/>
      <c r="D63" s="1" t="s">
        <v>176</v>
      </c>
      <c r="E63" s="1">
        <v>31499</v>
      </c>
      <c r="F63" s="2">
        <v>42435</v>
      </c>
      <c r="G63" s="1">
        <v>2</v>
      </c>
      <c r="H63" s="1"/>
      <c r="I63" s="1" t="s">
        <v>215</v>
      </c>
    </row>
    <row r="64" spans="1:9" x14ac:dyDescent="0.35">
      <c r="A64" s="4" t="s">
        <v>71</v>
      </c>
      <c r="B64" s="1" t="s">
        <v>164</v>
      </c>
      <c r="C64" s="1" t="s">
        <v>169</v>
      </c>
      <c r="D64" s="1" t="s">
        <v>175</v>
      </c>
      <c r="E64" s="1">
        <v>97981</v>
      </c>
      <c r="F64" s="2">
        <v>42442</v>
      </c>
      <c r="G64" s="1">
        <v>5</v>
      </c>
      <c r="H64" s="1" t="s">
        <v>181</v>
      </c>
      <c r="I64" s="1" t="s">
        <v>234</v>
      </c>
    </row>
    <row r="65" spans="1:9" x14ac:dyDescent="0.35">
      <c r="A65" s="4" t="s">
        <v>72</v>
      </c>
      <c r="B65" s="1" t="s">
        <v>159</v>
      </c>
      <c r="C65" s="1" t="s">
        <v>167</v>
      </c>
      <c r="D65" s="1" t="s">
        <v>173</v>
      </c>
      <c r="E65" s="1">
        <v>36541</v>
      </c>
      <c r="F65" s="2">
        <v>42449</v>
      </c>
      <c r="G65" s="1">
        <v>2</v>
      </c>
      <c r="H65" s="1" t="s">
        <v>179</v>
      </c>
      <c r="I65" s="1" t="s">
        <v>235</v>
      </c>
    </row>
    <row r="66" spans="1:9" x14ac:dyDescent="0.35">
      <c r="A66" s="4" t="s">
        <v>73</v>
      </c>
      <c r="B66" s="1" t="s">
        <v>161</v>
      </c>
      <c r="C66" s="1" t="s">
        <v>169</v>
      </c>
      <c r="D66" s="1" t="s">
        <v>174</v>
      </c>
      <c r="E66" s="1">
        <v>84737</v>
      </c>
      <c r="F66" s="2">
        <v>42456</v>
      </c>
      <c r="G66" s="1">
        <v>1</v>
      </c>
      <c r="H66" s="1" t="s">
        <v>180</v>
      </c>
      <c r="I66" s="1" t="s">
        <v>236</v>
      </c>
    </row>
    <row r="67" spans="1:9" x14ac:dyDescent="0.35">
      <c r="A67" s="4" t="s">
        <v>74</v>
      </c>
      <c r="B67" s="1" t="s">
        <v>163</v>
      </c>
      <c r="C67" s="1" t="s">
        <v>166</v>
      </c>
      <c r="D67" s="1" t="s">
        <v>174</v>
      </c>
      <c r="E67" s="1">
        <v>33468</v>
      </c>
      <c r="F67" s="2">
        <v>42463</v>
      </c>
      <c r="G67" s="1">
        <v>4</v>
      </c>
      <c r="H67" s="1" t="s">
        <v>180</v>
      </c>
      <c r="I67" s="1" t="s">
        <v>237</v>
      </c>
    </row>
    <row r="68" spans="1:9" x14ac:dyDescent="0.35">
      <c r="A68" s="4" t="s">
        <v>75</v>
      </c>
      <c r="B68" s="1" t="s">
        <v>163</v>
      </c>
      <c r="C68" s="1"/>
      <c r="D68" s="1" t="s">
        <v>176</v>
      </c>
      <c r="E68" s="1">
        <v>96365</v>
      </c>
      <c r="F68" s="2">
        <v>42470</v>
      </c>
      <c r="G68" s="1">
        <v>3</v>
      </c>
      <c r="H68" s="1" t="s">
        <v>179</v>
      </c>
      <c r="I68" s="1" t="s">
        <v>238</v>
      </c>
    </row>
    <row r="69" spans="1:9" x14ac:dyDescent="0.35">
      <c r="A69" s="4" t="s">
        <v>76</v>
      </c>
      <c r="B69" s="1" t="s">
        <v>160</v>
      </c>
      <c r="C69" s="1" t="s">
        <v>168</v>
      </c>
      <c r="D69" s="1" t="s">
        <v>174</v>
      </c>
      <c r="E69" s="1">
        <v>61942</v>
      </c>
      <c r="F69" s="2">
        <v>42477</v>
      </c>
      <c r="G69" s="1">
        <v>3</v>
      </c>
      <c r="H69" s="1" t="s">
        <v>181</v>
      </c>
      <c r="I69" s="1" t="s">
        <v>239</v>
      </c>
    </row>
    <row r="70" spans="1:9" x14ac:dyDescent="0.35">
      <c r="A70" s="4" t="s">
        <v>77</v>
      </c>
      <c r="B70" s="1" t="s">
        <v>163</v>
      </c>
      <c r="C70" s="1" t="s">
        <v>166</v>
      </c>
      <c r="D70" s="1" t="s">
        <v>175</v>
      </c>
      <c r="E70" s="1">
        <v>41467</v>
      </c>
      <c r="F70" s="2">
        <v>42484</v>
      </c>
      <c r="G70" s="1">
        <v>2</v>
      </c>
      <c r="H70" s="1"/>
      <c r="I70" s="1" t="s">
        <v>201</v>
      </c>
    </row>
    <row r="71" spans="1:9" x14ac:dyDescent="0.35">
      <c r="A71" s="4" t="s">
        <v>78</v>
      </c>
      <c r="B71" s="1" t="s">
        <v>165</v>
      </c>
      <c r="C71" s="1" t="s">
        <v>166</v>
      </c>
      <c r="D71" s="1" t="s">
        <v>174</v>
      </c>
      <c r="E71" s="1">
        <v>77096</v>
      </c>
      <c r="F71" s="2">
        <v>42491</v>
      </c>
      <c r="G71" s="1">
        <v>1</v>
      </c>
      <c r="H71" s="1"/>
      <c r="I71" s="1" t="s">
        <v>240</v>
      </c>
    </row>
    <row r="72" spans="1:9" x14ac:dyDescent="0.35">
      <c r="A72" s="4" t="s">
        <v>79</v>
      </c>
      <c r="B72" s="1" t="s">
        <v>159</v>
      </c>
      <c r="C72" s="1" t="s">
        <v>168</v>
      </c>
      <c r="D72" s="1" t="s">
        <v>176</v>
      </c>
      <c r="E72" s="1">
        <v>69952</v>
      </c>
      <c r="F72" s="2">
        <v>42498</v>
      </c>
      <c r="G72" s="1">
        <v>5</v>
      </c>
      <c r="H72" s="1" t="s">
        <v>181</v>
      </c>
      <c r="I72" s="1" t="s">
        <v>182</v>
      </c>
    </row>
    <row r="73" spans="1:9" x14ac:dyDescent="0.35">
      <c r="A73" s="4" t="s">
        <v>80</v>
      </c>
      <c r="B73" s="1" t="s">
        <v>159</v>
      </c>
      <c r="C73" s="1" t="s">
        <v>170</v>
      </c>
      <c r="D73" s="1" t="s">
        <v>173</v>
      </c>
      <c r="E73" s="1">
        <v>85065</v>
      </c>
      <c r="F73" s="2">
        <v>42505</v>
      </c>
      <c r="G73" s="1">
        <v>3</v>
      </c>
      <c r="H73" s="1"/>
      <c r="I73" s="1" t="s">
        <v>241</v>
      </c>
    </row>
    <row r="74" spans="1:9" x14ac:dyDescent="0.35">
      <c r="A74" s="4" t="s">
        <v>81</v>
      </c>
      <c r="B74" s="1" t="s">
        <v>165</v>
      </c>
      <c r="C74" s="1" t="s">
        <v>170</v>
      </c>
      <c r="D74" s="1" t="s">
        <v>174</v>
      </c>
      <c r="E74" s="1">
        <v>56512</v>
      </c>
      <c r="F74" s="2">
        <v>42512</v>
      </c>
      <c r="G74" s="1"/>
      <c r="H74" s="1" t="s">
        <v>179</v>
      </c>
      <c r="I74" s="1" t="s">
        <v>190</v>
      </c>
    </row>
    <row r="75" spans="1:9" x14ac:dyDescent="0.35">
      <c r="A75" s="4" t="s">
        <v>82</v>
      </c>
      <c r="B75" s="1" t="s">
        <v>161</v>
      </c>
      <c r="C75" s="1" t="s">
        <v>168</v>
      </c>
      <c r="D75" s="1" t="s">
        <v>174</v>
      </c>
      <c r="E75" s="1">
        <v>91101</v>
      </c>
      <c r="F75" s="2">
        <v>42519</v>
      </c>
      <c r="G75" s="1">
        <v>4</v>
      </c>
      <c r="H75" s="1" t="s">
        <v>181</v>
      </c>
      <c r="I75" s="1" t="s">
        <v>234</v>
      </c>
    </row>
    <row r="76" spans="1:9" x14ac:dyDescent="0.35">
      <c r="A76" s="4" t="s">
        <v>83</v>
      </c>
      <c r="B76" s="1" t="s">
        <v>163</v>
      </c>
      <c r="C76" s="1"/>
      <c r="D76" s="1" t="s">
        <v>172</v>
      </c>
      <c r="E76" s="1">
        <v>41243</v>
      </c>
      <c r="F76" s="2">
        <v>42526</v>
      </c>
      <c r="G76" s="1"/>
      <c r="H76" s="1"/>
      <c r="I76" s="1" t="s">
        <v>211</v>
      </c>
    </row>
    <row r="77" spans="1:9" x14ac:dyDescent="0.35">
      <c r="A77" s="4" t="s">
        <v>84</v>
      </c>
      <c r="B77" s="1" t="s">
        <v>178</v>
      </c>
      <c r="C77" s="1" t="s">
        <v>168</v>
      </c>
      <c r="D77" s="1" t="s">
        <v>171</v>
      </c>
      <c r="E77" s="1">
        <v>96142</v>
      </c>
      <c r="F77" s="2">
        <v>42533</v>
      </c>
      <c r="G77" s="1">
        <v>1</v>
      </c>
      <c r="H77" s="1" t="s">
        <v>179</v>
      </c>
      <c r="I77" s="1" t="s">
        <v>242</v>
      </c>
    </row>
    <row r="78" spans="1:9" x14ac:dyDescent="0.35">
      <c r="A78" s="4" t="s">
        <v>85</v>
      </c>
      <c r="B78" s="1" t="s">
        <v>159</v>
      </c>
      <c r="C78" s="1" t="s">
        <v>169</v>
      </c>
      <c r="D78" s="1" t="s">
        <v>174</v>
      </c>
      <c r="E78" s="1">
        <v>94301</v>
      </c>
      <c r="F78" s="2">
        <v>42540</v>
      </c>
      <c r="G78" s="1">
        <v>1</v>
      </c>
      <c r="H78" s="1" t="s">
        <v>180</v>
      </c>
      <c r="I78" s="1" t="s">
        <v>223</v>
      </c>
    </row>
    <row r="79" spans="1:9" x14ac:dyDescent="0.35">
      <c r="A79" s="4" t="s">
        <v>86</v>
      </c>
      <c r="B79" s="1" t="s">
        <v>162</v>
      </c>
      <c r="C79" s="1"/>
      <c r="D79" s="1" t="s">
        <v>175</v>
      </c>
      <c r="E79" s="1">
        <v>69166</v>
      </c>
      <c r="F79" s="2">
        <v>42547</v>
      </c>
      <c r="G79" s="1">
        <v>1</v>
      </c>
      <c r="H79" s="1" t="s">
        <v>181</v>
      </c>
      <c r="I79" s="1" t="s">
        <v>243</v>
      </c>
    </row>
    <row r="80" spans="1:9" x14ac:dyDescent="0.35">
      <c r="A80" s="4" t="s">
        <v>87</v>
      </c>
      <c r="B80" s="1" t="s">
        <v>163</v>
      </c>
      <c r="C80" s="1"/>
      <c r="D80" s="1" t="s">
        <v>175</v>
      </c>
      <c r="E80" s="1">
        <v>78245</v>
      </c>
      <c r="F80" s="2">
        <v>42554</v>
      </c>
      <c r="G80" s="1">
        <v>2</v>
      </c>
      <c r="H80" s="1"/>
      <c r="I80" s="1" t="s">
        <v>244</v>
      </c>
    </row>
    <row r="81" spans="1:9" x14ac:dyDescent="0.35">
      <c r="A81" s="4" t="s">
        <v>88</v>
      </c>
      <c r="B81" s="1" t="s">
        <v>164</v>
      </c>
      <c r="C81" s="1" t="s">
        <v>168</v>
      </c>
      <c r="D81" s="1" t="s">
        <v>173</v>
      </c>
      <c r="E81" s="1">
        <v>66079</v>
      </c>
      <c r="F81" s="2">
        <v>42561</v>
      </c>
      <c r="G81" s="1">
        <v>2</v>
      </c>
      <c r="H81" s="1" t="s">
        <v>179</v>
      </c>
      <c r="I81" s="1" t="s">
        <v>245</v>
      </c>
    </row>
    <row r="82" spans="1:9" x14ac:dyDescent="0.35">
      <c r="A82" s="4" t="s">
        <v>89</v>
      </c>
      <c r="B82" s="1" t="s">
        <v>159</v>
      </c>
      <c r="C82" s="1" t="s">
        <v>170</v>
      </c>
      <c r="D82" s="1" t="s">
        <v>174</v>
      </c>
      <c r="E82" s="1" t="s">
        <v>177</v>
      </c>
      <c r="F82" s="1"/>
      <c r="G82" s="1"/>
      <c r="H82" s="1"/>
      <c r="I82" s="1" t="s">
        <v>208</v>
      </c>
    </row>
    <row r="83" spans="1:9" x14ac:dyDescent="0.35">
      <c r="A83" s="4" t="s">
        <v>90</v>
      </c>
      <c r="B83" s="1" t="s">
        <v>162</v>
      </c>
      <c r="C83" s="1" t="s">
        <v>168</v>
      </c>
      <c r="D83" s="1" t="s">
        <v>173</v>
      </c>
      <c r="E83" s="1">
        <v>95621</v>
      </c>
      <c r="F83" s="2">
        <v>42575</v>
      </c>
      <c r="G83" s="1">
        <v>3</v>
      </c>
      <c r="H83" s="1" t="s">
        <v>181</v>
      </c>
      <c r="I83" s="1" t="s">
        <v>246</v>
      </c>
    </row>
    <row r="84" spans="1:9" x14ac:dyDescent="0.35">
      <c r="A84" s="4" t="s">
        <v>91</v>
      </c>
      <c r="B84" s="1" t="s">
        <v>159</v>
      </c>
      <c r="C84" s="1" t="s">
        <v>169</v>
      </c>
      <c r="D84" s="1" t="s">
        <v>175</v>
      </c>
      <c r="E84" s="1">
        <v>42262</v>
      </c>
      <c r="F84" s="2">
        <v>42582</v>
      </c>
      <c r="G84" s="1">
        <v>1</v>
      </c>
      <c r="H84" s="1"/>
      <c r="I84" s="1" t="s">
        <v>247</v>
      </c>
    </row>
    <row r="85" spans="1:9" x14ac:dyDescent="0.35">
      <c r="A85" s="4" t="s">
        <v>92</v>
      </c>
      <c r="B85" s="1" t="s">
        <v>163</v>
      </c>
      <c r="C85" s="1" t="s">
        <v>168</v>
      </c>
      <c r="D85" s="1" t="s">
        <v>174</v>
      </c>
      <c r="E85" s="1">
        <v>99621</v>
      </c>
      <c r="F85" s="2">
        <v>42589</v>
      </c>
      <c r="G85" s="1"/>
      <c r="H85" s="1" t="s">
        <v>179</v>
      </c>
      <c r="I85" s="1" t="s">
        <v>248</v>
      </c>
    </row>
    <row r="86" spans="1:9" x14ac:dyDescent="0.35">
      <c r="A86" s="4" t="s">
        <v>93</v>
      </c>
      <c r="B86" s="1" t="s">
        <v>161</v>
      </c>
      <c r="C86" s="1" t="s">
        <v>170</v>
      </c>
      <c r="D86" s="1" t="s">
        <v>174</v>
      </c>
      <c r="E86" s="1">
        <v>44682</v>
      </c>
      <c r="F86" s="2">
        <v>42596</v>
      </c>
      <c r="G86" s="1">
        <v>4</v>
      </c>
      <c r="H86" s="1" t="s">
        <v>181</v>
      </c>
      <c r="I86" s="1" t="s">
        <v>220</v>
      </c>
    </row>
    <row r="87" spans="1:9" x14ac:dyDescent="0.35">
      <c r="A87" s="4" t="s">
        <v>94</v>
      </c>
      <c r="B87" s="1" t="s">
        <v>164</v>
      </c>
      <c r="C87" s="1" t="s">
        <v>166</v>
      </c>
      <c r="D87" s="1"/>
      <c r="E87" s="1">
        <v>35163</v>
      </c>
      <c r="F87" s="2">
        <v>42603</v>
      </c>
      <c r="G87" s="1">
        <v>5</v>
      </c>
      <c r="H87" s="1" t="s">
        <v>179</v>
      </c>
      <c r="I87" s="1" t="s">
        <v>249</v>
      </c>
    </row>
    <row r="88" spans="1:9" x14ac:dyDescent="0.35">
      <c r="A88" s="4" t="s">
        <v>95</v>
      </c>
      <c r="B88" s="1" t="s">
        <v>164</v>
      </c>
      <c r="C88" s="1" t="s">
        <v>169</v>
      </c>
      <c r="D88" s="1" t="s">
        <v>174</v>
      </c>
      <c r="E88" s="1">
        <v>33483</v>
      </c>
      <c r="F88" s="2">
        <v>42610</v>
      </c>
      <c r="G88" s="1">
        <v>4</v>
      </c>
      <c r="H88" s="1" t="s">
        <v>180</v>
      </c>
      <c r="I88" s="1" t="s">
        <v>250</v>
      </c>
    </row>
    <row r="89" spans="1:9" x14ac:dyDescent="0.35">
      <c r="A89" s="4" t="s">
        <v>96</v>
      </c>
      <c r="B89" s="1" t="s">
        <v>163</v>
      </c>
      <c r="C89" s="1" t="s">
        <v>167</v>
      </c>
      <c r="D89" s="1" t="s">
        <v>172</v>
      </c>
      <c r="E89" s="1">
        <v>55303</v>
      </c>
      <c r="F89" s="2">
        <v>42617</v>
      </c>
      <c r="G89" s="1">
        <v>4</v>
      </c>
      <c r="H89" s="1" t="s">
        <v>180</v>
      </c>
      <c r="I89" s="1" t="s">
        <v>203</v>
      </c>
    </row>
    <row r="90" spans="1:9" x14ac:dyDescent="0.35">
      <c r="A90" s="4" t="s">
        <v>97</v>
      </c>
      <c r="B90" s="1" t="s">
        <v>164</v>
      </c>
      <c r="C90" s="1" t="s">
        <v>169</v>
      </c>
      <c r="D90" s="1"/>
      <c r="E90" s="1">
        <v>63434</v>
      </c>
      <c r="F90" s="2">
        <v>42624</v>
      </c>
      <c r="G90" s="1">
        <v>3</v>
      </c>
      <c r="H90" s="1"/>
      <c r="I90" s="1" t="s">
        <v>251</v>
      </c>
    </row>
    <row r="91" spans="1:9" x14ac:dyDescent="0.35">
      <c r="A91" s="4" t="s">
        <v>98</v>
      </c>
      <c r="B91" s="1" t="s">
        <v>162</v>
      </c>
      <c r="C91" s="1"/>
      <c r="D91" s="1" t="s">
        <v>176</v>
      </c>
      <c r="E91" s="1">
        <v>38830</v>
      </c>
      <c r="F91" s="2">
        <v>42631</v>
      </c>
      <c r="G91" s="1">
        <v>3</v>
      </c>
      <c r="H91" s="1" t="s">
        <v>179</v>
      </c>
      <c r="I91" s="1" t="s">
        <v>203</v>
      </c>
    </row>
    <row r="92" spans="1:9" x14ac:dyDescent="0.35">
      <c r="A92" s="4" t="s">
        <v>99</v>
      </c>
      <c r="B92" s="1" t="s">
        <v>178</v>
      </c>
      <c r="C92" s="1" t="s">
        <v>170</v>
      </c>
      <c r="D92" s="1" t="s">
        <v>175</v>
      </c>
      <c r="E92" s="1">
        <v>50741</v>
      </c>
      <c r="F92" s="2">
        <v>42638</v>
      </c>
      <c r="G92" s="1">
        <v>3</v>
      </c>
      <c r="H92" s="1" t="s">
        <v>178</v>
      </c>
      <c r="I92" s="1" t="s">
        <v>240</v>
      </c>
    </row>
    <row r="93" spans="1:9" x14ac:dyDescent="0.35">
      <c r="A93" s="4" t="s">
        <v>100</v>
      </c>
      <c r="B93" s="1" t="s">
        <v>160</v>
      </c>
      <c r="C93" s="1" t="s">
        <v>167</v>
      </c>
      <c r="D93" s="1" t="s">
        <v>176</v>
      </c>
      <c r="E93" s="1">
        <v>69420</v>
      </c>
      <c r="F93" s="2">
        <v>42645</v>
      </c>
      <c r="G93" s="1">
        <v>1</v>
      </c>
      <c r="H93" s="1" t="s">
        <v>180</v>
      </c>
      <c r="I93" s="1" t="s">
        <v>225</v>
      </c>
    </row>
    <row r="94" spans="1:9" x14ac:dyDescent="0.35">
      <c r="A94" s="4" t="s">
        <v>101</v>
      </c>
      <c r="B94" s="1" t="s">
        <v>162</v>
      </c>
      <c r="C94" s="1" t="s">
        <v>169</v>
      </c>
      <c r="D94" s="1"/>
      <c r="E94" s="1">
        <v>80588</v>
      </c>
      <c r="F94" s="2">
        <v>42652</v>
      </c>
      <c r="G94" s="1">
        <v>5</v>
      </c>
      <c r="H94" s="1" t="s">
        <v>180</v>
      </c>
      <c r="I94" s="1" t="s">
        <v>216</v>
      </c>
    </row>
    <row r="95" spans="1:9" x14ac:dyDescent="0.35">
      <c r="A95" s="4" t="s">
        <v>102</v>
      </c>
      <c r="B95" s="1" t="s">
        <v>160</v>
      </c>
      <c r="C95" s="1"/>
      <c r="D95" s="1" t="s">
        <v>173</v>
      </c>
      <c r="E95" s="1">
        <v>76238</v>
      </c>
      <c r="F95" s="2">
        <v>42659</v>
      </c>
      <c r="G95" s="1">
        <v>4</v>
      </c>
      <c r="H95" s="1" t="s">
        <v>180</v>
      </c>
      <c r="I95" s="1" t="s">
        <v>252</v>
      </c>
    </row>
    <row r="96" spans="1:9" x14ac:dyDescent="0.35">
      <c r="A96" s="4" t="s">
        <v>103</v>
      </c>
      <c r="B96" s="1" t="s">
        <v>165</v>
      </c>
      <c r="C96" s="1" t="s">
        <v>169</v>
      </c>
      <c r="D96" s="1" t="s">
        <v>174</v>
      </c>
      <c r="E96" s="1">
        <v>33264</v>
      </c>
      <c r="F96" s="2">
        <v>42666</v>
      </c>
      <c r="G96" s="1"/>
      <c r="H96" s="1" t="s">
        <v>181</v>
      </c>
      <c r="I96" s="1" t="s">
        <v>253</v>
      </c>
    </row>
    <row r="97" spans="1:9" x14ac:dyDescent="0.35">
      <c r="A97" s="4" t="s">
        <v>104</v>
      </c>
      <c r="B97" s="1" t="s">
        <v>160</v>
      </c>
      <c r="C97" s="1" t="s">
        <v>166</v>
      </c>
      <c r="D97" s="1" t="s">
        <v>176</v>
      </c>
      <c r="E97" s="1">
        <v>96101</v>
      </c>
      <c r="F97" s="2">
        <v>42673</v>
      </c>
      <c r="G97" s="1"/>
      <c r="H97" s="1" t="s">
        <v>179</v>
      </c>
      <c r="I97" s="1" t="s">
        <v>254</v>
      </c>
    </row>
    <row r="98" spans="1:9" x14ac:dyDescent="0.35">
      <c r="A98" s="4" t="s">
        <v>105</v>
      </c>
      <c r="B98" s="1" t="s">
        <v>162</v>
      </c>
      <c r="C98" s="1" t="s">
        <v>166</v>
      </c>
      <c r="D98" s="1" t="s">
        <v>173</v>
      </c>
      <c r="E98" s="1">
        <v>72939</v>
      </c>
      <c r="F98" s="2">
        <v>42680</v>
      </c>
      <c r="G98" s="1">
        <v>3</v>
      </c>
      <c r="H98" s="1"/>
      <c r="I98" s="1" t="s">
        <v>255</v>
      </c>
    </row>
    <row r="99" spans="1:9" x14ac:dyDescent="0.35">
      <c r="A99" s="4" t="s">
        <v>106</v>
      </c>
      <c r="B99" s="1" t="s">
        <v>163</v>
      </c>
      <c r="C99" s="1" t="s">
        <v>167</v>
      </c>
      <c r="D99" s="1" t="s">
        <v>172</v>
      </c>
      <c r="E99" s="1">
        <v>89333</v>
      </c>
      <c r="F99" s="2">
        <v>42687</v>
      </c>
      <c r="G99" s="1">
        <v>1</v>
      </c>
      <c r="H99" s="1" t="s">
        <v>180</v>
      </c>
      <c r="I99" s="1" t="s">
        <v>256</v>
      </c>
    </row>
    <row r="100" spans="1:9" x14ac:dyDescent="0.35">
      <c r="A100" s="4" t="s">
        <v>107</v>
      </c>
      <c r="B100" s="1" t="s">
        <v>165</v>
      </c>
      <c r="C100" s="1" t="s">
        <v>169</v>
      </c>
      <c r="D100" s="1" t="s">
        <v>176</v>
      </c>
      <c r="E100" s="1">
        <v>70470</v>
      </c>
      <c r="F100" s="2">
        <v>42694</v>
      </c>
      <c r="G100" s="1"/>
      <c r="H100" s="1" t="s">
        <v>180</v>
      </c>
      <c r="I100" s="1" t="s">
        <v>257</v>
      </c>
    </row>
    <row r="101" spans="1:9" x14ac:dyDescent="0.35">
      <c r="A101" s="4" t="s">
        <v>108</v>
      </c>
      <c r="B101" s="1" t="s">
        <v>159</v>
      </c>
      <c r="C101" s="1" t="s">
        <v>170</v>
      </c>
      <c r="D101" s="1" t="s">
        <v>173</v>
      </c>
      <c r="E101" s="1">
        <v>70096</v>
      </c>
      <c r="F101" s="2">
        <v>42701</v>
      </c>
      <c r="G101" s="1">
        <v>4</v>
      </c>
      <c r="H101" s="1" t="s">
        <v>180</v>
      </c>
      <c r="I101" s="1" t="s">
        <v>258</v>
      </c>
    </row>
    <row r="102" spans="1:9" x14ac:dyDescent="0.35">
      <c r="A102" s="4" t="s">
        <v>109</v>
      </c>
      <c r="B102" s="1" t="s">
        <v>165</v>
      </c>
      <c r="C102" s="1" t="s">
        <v>170</v>
      </c>
      <c r="D102" s="1" t="s">
        <v>171</v>
      </c>
      <c r="E102" s="1" t="s">
        <v>177</v>
      </c>
      <c r="F102" s="2">
        <v>42708</v>
      </c>
      <c r="G102" s="1">
        <v>2</v>
      </c>
      <c r="H102" s="1" t="s">
        <v>179</v>
      </c>
      <c r="I102" s="1" t="s">
        <v>259</v>
      </c>
    </row>
    <row r="103" spans="1:9" x14ac:dyDescent="0.35">
      <c r="A103" s="4" t="s">
        <v>110</v>
      </c>
      <c r="B103" s="1" t="s">
        <v>165</v>
      </c>
      <c r="C103" s="1" t="s">
        <v>169</v>
      </c>
      <c r="D103" s="1" t="s">
        <v>172</v>
      </c>
      <c r="E103" s="1">
        <v>66503</v>
      </c>
      <c r="F103" s="2">
        <v>42715</v>
      </c>
      <c r="G103" s="1"/>
      <c r="H103" s="1" t="s">
        <v>180</v>
      </c>
      <c r="I103" s="1" t="s">
        <v>200</v>
      </c>
    </row>
    <row r="104" spans="1:9" x14ac:dyDescent="0.35">
      <c r="A104" s="4" t="s">
        <v>111</v>
      </c>
      <c r="B104" s="1" t="s">
        <v>160</v>
      </c>
      <c r="C104" s="1" t="s">
        <v>167</v>
      </c>
      <c r="D104" s="1" t="s">
        <v>172</v>
      </c>
      <c r="E104" s="1">
        <v>42096</v>
      </c>
      <c r="F104" s="2">
        <v>42722</v>
      </c>
      <c r="G104" s="1"/>
      <c r="H104" s="1" t="s">
        <v>181</v>
      </c>
      <c r="I104" s="1" t="s">
        <v>260</v>
      </c>
    </row>
    <row r="105" spans="1:9" x14ac:dyDescent="0.35">
      <c r="A105" s="4" t="s">
        <v>112</v>
      </c>
      <c r="B105" s="1" t="s">
        <v>160</v>
      </c>
      <c r="C105" s="1" t="s">
        <v>170</v>
      </c>
      <c r="D105" s="1"/>
      <c r="E105" s="1">
        <v>79145</v>
      </c>
      <c r="F105" s="2">
        <v>42729</v>
      </c>
      <c r="G105" s="1">
        <v>5</v>
      </c>
      <c r="H105" s="1" t="s">
        <v>179</v>
      </c>
      <c r="I105" s="1" t="s">
        <v>223</v>
      </c>
    </row>
    <row r="106" spans="1:9" x14ac:dyDescent="0.35">
      <c r="A106" s="4" t="s">
        <v>113</v>
      </c>
      <c r="B106" s="1" t="s">
        <v>162</v>
      </c>
      <c r="C106" s="1"/>
      <c r="D106" s="1" t="s">
        <v>176</v>
      </c>
      <c r="E106" s="1">
        <v>61556</v>
      </c>
      <c r="F106" s="2">
        <v>42736</v>
      </c>
      <c r="G106" s="1">
        <v>1</v>
      </c>
      <c r="H106" s="1"/>
      <c r="I106" s="1" t="s">
        <v>259</v>
      </c>
    </row>
    <row r="107" spans="1:9" x14ac:dyDescent="0.35">
      <c r="A107" s="4" t="s">
        <v>114</v>
      </c>
      <c r="B107" s="1" t="s">
        <v>178</v>
      </c>
      <c r="C107" s="1" t="s">
        <v>167</v>
      </c>
      <c r="D107" s="1" t="s">
        <v>175</v>
      </c>
      <c r="E107" s="1">
        <v>87963</v>
      </c>
      <c r="F107" s="2">
        <v>42743</v>
      </c>
      <c r="G107" s="1">
        <v>3</v>
      </c>
      <c r="H107" s="1" t="s">
        <v>179</v>
      </c>
      <c r="I107" s="1" t="s">
        <v>182</v>
      </c>
    </row>
    <row r="108" spans="1:9" x14ac:dyDescent="0.35">
      <c r="A108" s="4" t="s">
        <v>115</v>
      </c>
      <c r="B108" s="1" t="s">
        <v>159</v>
      </c>
      <c r="C108" s="1" t="s">
        <v>169</v>
      </c>
      <c r="D108" s="1"/>
      <c r="E108" s="1">
        <v>48325</v>
      </c>
      <c r="F108" s="2">
        <v>42750</v>
      </c>
      <c r="G108" s="1"/>
      <c r="H108" s="1" t="s">
        <v>180</v>
      </c>
      <c r="I108" s="1" t="s">
        <v>261</v>
      </c>
    </row>
    <row r="109" spans="1:9" x14ac:dyDescent="0.35">
      <c r="A109" s="4" t="s">
        <v>116</v>
      </c>
      <c r="B109" s="1" t="s">
        <v>163</v>
      </c>
      <c r="C109" s="1" t="s">
        <v>170</v>
      </c>
      <c r="D109" s="1" t="s">
        <v>176</v>
      </c>
      <c r="E109" s="1">
        <v>86412</v>
      </c>
      <c r="F109" s="2">
        <v>42757</v>
      </c>
      <c r="G109" s="1">
        <v>2</v>
      </c>
      <c r="H109" s="1" t="s">
        <v>181</v>
      </c>
      <c r="I109" s="1" t="s">
        <v>202</v>
      </c>
    </row>
    <row r="110" spans="1:9" x14ac:dyDescent="0.35">
      <c r="A110" s="4" t="s">
        <v>117</v>
      </c>
      <c r="B110" s="1" t="s">
        <v>163</v>
      </c>
      <c r="C110" s="1" t="s">
        <v>167</v>
      </c>
      <c r="D110" s="1"/>
      <c r="E110" s="1">
        <v>66761</v>
      </c>
      <c r="F110" s="2">
        <v>42764</v>
      </c>
      <c r="G110" s="1">
        <v>1</v>
      </c>
      <c r="H110" s="1"/>
      <c r="I110" s="1" t="s">
        <v>262</v>
      </c>
    </row>
    <row r="111" spans="1:9" x14ac:dyDescent="0.35">
      <c r="A111" s="4" t="s">
        <v>118</v>
      </c>
      <c r="B111" s="1" t="s">
        <v>162</v>
      </c>
      <c r="C111" s="1"/>
      <c r="D111" s="1" t="s">
        <v>174</v>
      </c>
      <c r="E111" s="1">
        <v>88850</v>
      </c>
      <c r="F111" s="2">
        <v>42771</v>
      </c>
      <c r="G111" s="1">
        <v>1</v>
      </c>
      <c r="H111" s="1" t="s">
        <v>181</v>
      </c>
      <c r="I111" s="1" t="s">
        <v>263</v>
      </c>
    </row>
    <row r="112" spans="1:9" x14ac:dyDescent="0.35">
      <c r="A112" s="4" t="s">
        <v>119</v>
      </c>
      <c r="B112" s="1" t="s">
        <v>164</v>
      </c>
      <c r="C112" s="1" t="s">
        <v>168</v>
      </c>
      <c r="D112" s="1" t="s">
        <v>174</v>
      </c>
      <c r="E112" s="1">
        <v>31293</v>
      </c>
      <c r="F112" s="1"/>
      <c r="G112" s="1">
        <v>2</v>
      </c>
      <c r="H112" s="1" t="s">
        <v>181</v>
      </c>
      <c r="I112" s="1" t="s">
        <v>264</v>
      </c>
    </row>
    <row r="113" spans="1:9" x14ac:dyDescent="0.35">
      <c r="A113" s="4" t="s">
        <v>120</v>
      </c>
      <c r="B113" s="1" t="s">
        <v>164</v>
      </c>
      <c r="C113" s="1" t="s">
        <v>169</v>
      </c>
      <c r="D113" s="1" t="s">
        <v>173</v>
      </c>
      <c r="E113" s="1">
        <v>34306</v>
      </c>
      <c r="F113" s="2">
        <v>42785</v>
      </c>
      <c r="G113" s="1">
        <v>5</v>
      </c>
      <c r="H113" s="1" t="s">
        <v>181</v>
      </c>
      <c r="I113" s="1" t="s">
        <v>239</v>
      </c>
    </row>
    <row r="114" spans="1:9" x14ac:dyDescent="0.35">
      <c r="A114" s="4" t="s">
        <v>121</v>
      </c>
      <c r="B114" s="1" t="s">
        <v>159</v>
      </c>
      <c r="C114" s="1" t="s">
        <v>166</v>
      </c>
      <c r="D114" s="1" t="s">
        <v>174</v>
      </c>
      <c r="E114" s="1">
        <v>78330</v>
      </c>
      <c r="F114" s="2">
        <v>42792</v>
      </c>
      <c r="G114" s="1"/>
      <c r="H114" s="1" t="s">
        <v>179</v>
      </c>
      <c r="I114" s="1" t="s">
        <v>258</v>
      </c>
    </row>
    <row r="115" spans="1:9" x14ac:dyDescent="0.35">
      <c r="A115" s="4" t="s">
        <v>122</v>
      </c>
      <c r="B115" s="1" t="s">
        <v>160</v>
      </c>
      <c r="C115" s="1" t="s">
        <v>169</v>
      </c>
      <c r="D115" s="1" t="s">
        <v>173</v>
      </c>
      <c r="E115" s="1">
        <v>47653</v>
      </c>
      <c r="F115" s="2">
        <v>42799</v>
      </c>
      <c r="G115" s="1">
        <v>1</v>
      </c>
      <c r="H115" s="1" t="s">
        <v>180</v>
      </c>
      <c r="I115" s="1" t="s">
        <v>265</v>
      </c>
    </row>
    <row r="116" spans="1:9" x14ac:dyDescent="0.35">
      <c r="A116" s="4" t="s">
        <v>123</v>
      </c>
      <c r="B116" s="1" t="s">
        <v>159</v>
      </c>
      <c r="C116" s="1" t="s">
        <v>170</v>
      </c>
      <c r="D116" s="1" t="s">
        <v>175</v>
      </c>
      <c r="E116" s="1">
        <v>44627</v>
      </c>
      <c r="F116" s="2">
        <v>42806</v>
      </c>
      <c r="G116" s="1">
        <v>4</v>
      </c>
      <c r="H116" s="1"/>
      <c r="I116" s="1" t="s">
        <v>235</v>
      </c>
    </row>
    <row r="117" spans="1:9" x14ac:dyDescent="0.35">
      <c r="A117" s="4" t="s">
        <v>124</v>
      </c>
      <c r="B117" s="1" t="s">
        <v>165</v>
      </c>
      <c r="C117" s="1" t="s">
        <v>167</v>
      </c>
      <c r="D117" s="1" t="s">
        <v>172</v>
      </c>
      <c r="E117" s="1">
        <v>92343</v>
      </c>
      <c r="F117" s="2">
        <v>42813</v>
      </c>
      <c r="G117" s="1">
        <v>4</v>
      </c>
      <c r="H117" s="1" t="s">
        <v>181</v>
      </c>
      <c r="I117" s="1" t="s">
        <v>203</v>
      </c>
    </row>
    <row r="118" spans="1:9" x14ac:dyDescent="0.35">
      <c r="A118" s="4" t="s">
        <v>125</v>
      </c>
      <c r="B118" s="1" t="s">
        <v>165</v>
      </c>
      <c r="C118" s="1" t="s">
        <v>170</v>
      </c>
      <c r="D118" s="1" t="s">
        <v>176</v>
      </c>
      <c r="E118" s="1">
        <v>38837</v>
      </c>
      <c r="F118" s="2">
        <v>42820</v>
      </c>
      <c r="G118" s="1">
        <v>5</v>
      </c>
      <c r="H118" s="1" t="s">
        <v>181</v>
      </c>
      <c r="I118" s="1" t="s">
        <v>239</v>
      </c>
    </row>
    <row r="119" spans="1:9" x14ac:dyDescent="0.35">
      <c r="A119" s="4" t="s">
        <v>126</v>
      </c>
      <c r="B119" s="1" t="s">
        <v>165</v>
      </c>
      <c r="C119" s="1" t="s">
        <v>170</v>
      </c>
      <c r="D119" s="1"/>
      <c r="E119" s="1">
        <v>73483</v>
      </c>
      <c r="F119" s="2">
        <v>42827</v>
      </c>
      <c r="G119" s="1">
        <v>1</v>
      </c>
      <c r="H119" s="1"/>
      <c r="I119" s="1" t="s">
        <v>266</v>
      </c>
    </row>
    <row r="120" spans="1:9" x14ac:dyDescent="0.35">
      <c r="A120" s="4" t="s">
        <v>127</v>
      </c>
      <c r="B120" s="1" t="s">
        <v>164</v>
      </c>
      <c r="C120" s="1" t="s">
        <v>168</v>
      </c>
      <c r="D120" s="1" t="s">
        <v>174</v>
      </c>
      <c r="E120" s="1">
        <v>95032</v>
      </c>
      <c r="F120" s="2">
        <v>42834</v>
      </c>
      <c r="G120" s="1">
        <v>3</v>
      </c>
      <c r="H120" s="1"/>
      <c r="I120" s="1" t="s">
        <v>267</v>
      </c>
    </row>
    <row r="121" spans="1:9" x14ac:dyDescent="0.35">
      <c r="A121" s="4" t="s">
        <v>128</v>
      </c>
      <c r="B121" s="1" t="s">
        <v>159</v>
      </c>
      <c r="C121" s="1" t="s">
        <v>168</v>
      </c>
      <c r="D121" s="1" t="s">
        <v>176</v>
      </c>
      <c r="E121" s="1">
        <v>44358</v>
      </c>
      <c r="F121" s="2">
        <v>42841</v>
      </c>
      <c r="G121" s="1"/>
      <c r="H121" s="1" t="s">
        <v>181</v>
      </c>
      <c r="I121" s="1" t="s">
        <v>200</v>
      </c>
    </row>
    <row r="122" spans="1:9" x14ac:dyDescent="0.35">
      <c r="A122" s="4" t="s">
        <v>129</v>
      </c>
      <c r="B122" s="1" t="s">
        <v>178</v>
      </c>
      <c r="C122" s="1" t="s">
        <v>169</v>
      </c>
      <c r="D122" s="1" t="s">
        <v>173</v>
      </c>
      <c r="E122" s="1" t="s">
        <v>177</v>
      </c>
      <c r="F122" s="1"/>
      <c r="G122" s="1">
        <v>5</v>
      </c>
      <c r="H122" s="1" t="s">
        <v>178</v>
      </c>
      <c r="I122" s="1" t="s">
        <v>268</v>
      </c>
    </row>
    <row r="123" spans="1:9" x14ac:dyDescent="0.35">
      <c r="A123" s="4" t="s">
        <v>130</v>
      </c>
      <c r="B123" s="1" t="s">
        <v>164</v>
      </c>
      <c r="C123" s="1" t="s">
        <v>168</v>
      </c>
      <c r="D123" s="1" t="s">
        <v>173</v>
      </c>
      <c r="E123" s="1">
        <v>45676</v>
      </c>
      <c r="F123" s="2">
        <v>42855</v>
      </c>
      <c r="G123" s="1">
        <v>2</v>
      </c>
      <c r="H123" s="1"/>
      <c r="I123" s="1" t="s">
        <v>269</v>
      </c>
    </row>
    <row r="124" spans="1:9" x14ac:dyDescent="0.35">
      <c r="A124" s="4" t="s">
        <v>131</v>
      </c>
      <c r="B124" s="1" t="s">
        <v>165</v>
      </c>
      <c r="C124" s="1" t="s">
        <v>168</v>
      </c>
      <c r="D124" s="1" t="s">
        <v>172</v>
      </c>
      <c r="E124" s="1">
        <v>52036</v>
      </c>
      <c r="F124" s="2">
        <v>42862</v>
      </c>
      <c r="G124" s="1">
        <v>3</v>
      </c>
      <c r="H124" s="1" t="s">
        <v>180</v>
      </c>
      <c r="I124" s="1" t="s">
        <v>270</v>
      </c>
    </row>
    <row r="125" spans="1:9" x14ac:dyDescent="0.35">
      <c r="A125" s="4" t="s">
        <v>132</v>
      </c>
      <c r="B125" s="1" t="s">
        <v>162</v>
      </c>
      <c r="C125" s="1"/>
      <c r="D125" s="1" t="s">
        <v>172</v>
      </c>
      <c r="E125" s="1">
        <v>30357</v>
      </c>
      <c r="F125" s="2">
        <v>42869</v>
      </c>
      <c r="G125" s="1">
        <v>5</v>
      </c>
      <c r="H125" s="1" t="s">
        <v>180</v>
      </c>
      <c r="I125" s="1" t="s">
        <v>248</v>
      </c>
    </row>
    <row r="126" spans="1:9" x14ac:dyDescent="0.35">
      <c r="A126" s="4" t="s">
        <v>133</v>
      </c>
      <c r="B126" s="1" t="s">
        <v>161</v>
      </c>
      <c r="C126" s="1" t="s">
        <v>169</v>
      </c>
      <c r="D126" s="1"/>
      <c r="E126" s="1">
        <v>60034</v>
      </c>
      <c r="F126" s="2">
        <v>42876</v>
      </c>
      <c r="G126" s="1">
        <v>1</v>
      </c>
      <c r="H126" s="1" t="s">
        <v>181</v>
      </c>
      <c r="I126" s="1" t="s">
        <v>271</v>
      </c>
    </row>
    <row r="127" spans="1:9" x14ac:dyDescent="0.35">
      <c r="A127" s="4" t="s">
        <v>134</v>
      </c>
      <c r="B127" s="1" t="s">
        <v>161</v>
      </c>
      <c r="C127" s="1" t="s">
        <v>166</v>
      </c>
      <c r="D127" s="1" t="s">
        <v>171</v>
      </c>
      <c r="E127" s="1">
        <v>90019</v>
      </c>
      <c r="F127" s="2">
        <v>42883</v>
      </c>
      <c r="G127" s="1">
        <v>5</v>
      </c>
      <c r="H127" s="1"/>
      <c r="I127" s="1" t="s">
        <v>272</v>
      </c>
    </row>
    <row r="128" spans="1:9" x14ac:dyDescent="0.35">
      <c r="A128" s="4" t="s">
        <v>135</v>
      </c>
      <c r="B128" s="1" t="s">
        <v>165</v>
      </c>
      <c r="C128" s="1"/>
      <c r="D128" s="1" t="s">
        <v>172</v>
      </c>
      <c r="E128" s="1">
        <v>71494</v>
      </c>
      <c r="F128" s="2">
        <v>42890</v>
      </c>
      <c r="G128" s="1">
        <v>3</v>
      </c>
      <c r="H128" s="1" t="s">
        <v>180</v>
      </c>
      <c r="I128" s="1" t="s">
        <v>273</v>
      </c>
    </row>
    <row r="129" spans="1:9" x14ac:dyDescent="0.35">
      <c r="A129" s="4" t="s">
        <v>136</v>
      </c>
      <c r="B129" s="1" t="s">
        <v>161</v>
      </c>
      <c r="C129" s="1" t="s">
        <v>166</v>
      </c>
      <c r="D129" s="1" t="s">
        <v>173</v>
      </c>
      <c r="E129" s="1">
        <v>91953</v>
      </c>
      <c r="F129" s="2">
        <v>42897</v>
      </c>
      <c r="G129" s="1">
        <v>2</v>
      </c>
      <c r="H129" s="1" t="s">
        <v>180</v>
      </c>
      <c r="I129" s="1" t="s">
        <v>209</v>
      </c>
    </row>
    <row r="130" spans="1:9" x14ac:dyDescent="0.35">
      <c r="A130" s="4" t="s">
        <v>137</v>
      </c>
      <c r="B130" s="1" t="s">
        <v>164</v>
      </c>
      <c r="C130" s="1" t="s">
        <v>168</v>
      </c>
      <c r="D130" s="1" t="s">
        <v>173</v>
      </c>
      <c r="E130" s="1">
        <v>30402</v>
      </c>
      <c r="F130" s="2">
        <v>42904</v>
      </c>
      <c r="G130" s="1">
        <v>1</v>
      </c>
      <c r="H130" s="1"/>
      <c r="I130" s="1" t="s">
        <v>274</v>
      </c>
    </row>
    <row r="131" spans="1:9" x14ac:dyDescent="0.35">
      <c r="A131" s="4" t="s">
        <v>138</v>
      </c>
      <c r="B131" s="1" t="s">
        <v>165</v>
      </c>
      <c r="C131" s="1"/>
      <c r="D131" s="1" t="s">
        <v>175</v>
      </c>
      <c r="E131" s="1">
        <v>62994</v>
      </c>
      <c r="F131" s="2">
        <v>42911</v>
      </c>
      <c r="G131" s="1"/>
      <c r="H131" s="1"/>
      <c r="I131" s="1" t="s">
        <v>221</v>
      </c>
    </row>
    <row r="132" spans="1:9" x14ac:dyDescent="0.35">
      <c r="A132" s="4" t="s">
        <v>139</v>
      </c>
      <c r="B132" s="1" t="s">
        <v>160</v>
      </c>
      <c r="C132" s="1" t="s">
        <v>168</v>
      </c>
      <c r="D132" s="1" t="s">
        <v>174</v>
      </c>
      <c r="E132" s="1">
        <v>48289</v>
      </c>
      <c r="F132" s="1"/>
      <c r="G132" s="1">
        <v>3</v>
      </c>
      <c r="H132" s="1" t="s">
        <v>180</v>
      </c>
      <c r="I132" s="1" t="s">
        <v>189</v>
      </c>
    </row>
    <row r="133" spans="1:9" x14ac:dyDescent="0.35">
      <c r="A133" s="4" t="s">
        <v>140</v>
      </c>
      <c r="B133" s="1" t="s">
        <v>163</v>
      </c>
      <c r="C133" s="1" t="s">
        <v>170</v>
      </c>
      <c r="D133" s="1" t="s">
        <v>172</v>
      </c>
      <c r="E133" s="1">
        <v>34402</v>
      </c>
      <c r="F133" s="2">
        <v>42925</v>
      </c>
      <c r="G133" s="1">
        <v>3</v>
      </c>
      <c r="H133" s="1" t="s">
        <v>179</v>
      </c>
      <c r="I133" s="1" t="s">
        <v>218</v>
      </c>
    </row>
    <row r="134" spans="1:9" x14ac:dyDescent="0.35">
      <c r="A134" s="4" t="s">
        <v>141</v>
      </c>
      <c r="B134" s="1" t="s">
        <v>159</v>
      </c>
      <c r="C134" s="1" t="s">
        <v>167</v>
      </c>
      <c r="D134" s="1" t="s">
        <v>173</v>
      </c>
      <c r="E134" s="1">
        <v>38678</v>
      </c>
      <c r="F134" s="2">
        <v>42932</v>
      </c>
      <c r="G134" s="1">
        <v>3</v>
      </c>
      <c r="H134" s="1" t="s">
        <v>179</v>
      </c>
      <c r="I134" s="1" t="s">
        <v>275</v>
      </c>
    </row>
    <row r="135" spans="1:9" x14ac:dyDescent="0.35">
      <c r="A135" s="4" t="s">
        <v>142</v>
      </c>
      <c r="B135" s="1" t="s">
        <v>164</v>
      </c>
      <c r="C135" s="1" t="s">
        <v>167</v>
      </c>
      <c r="D135" s="1" t="s">
        <v>172</v>
      </c>
      <c r="E135" s="1">
        <v>45758</v>
      </c>
      <c r="F135" s="2">
        <v>42939</v>
      </c>
      <c r="G135" s="1">
        <v>3</v>
      </c>
      <c r="H135" s="1"/>
      <c r="I135" s="1" t="s">
        <v>264</v>
      </c>
    </row>
    <row r="136" spans="1:9" x14ac:dyDescent="0.35">
      <c r="A136" s="4" t="s">
        <v>143</v>
      </c>
      <c r="B136" s="1" t="s">
        <v>159</v>
      </c>
      <c r="C136" s="1" t="s">
        <v>170</v>
      </c>
      <c r="D136" s="1" t="s">
        <v>174</v>
      </c>
      <c r="E136" s="1">
        <v>62476</v>
      </c>
      <c r="F136" s="2">
        <v>42946</v>
      </c>
      <c r="G136" s="1">
        <v>1</v>
      </c>
      <c r="H136" s="1" t="s">
        <v>179</v>
      </c>
      <c r="I136" s="1" t="s">
        <v>231</v>
      </c>
    </row>
    <row r="137" spans="1:9" x14ac:dyDescent="0.35">
      <c r="A137" s="4" t="s">
        <v>144</v>
      </c>
      <c r="B137" s="1" t="s">
        <v>178</v>
      </c>
      <c r="C137" s="1" t="s">
        <v>169</v>
      </c>
      <c r="D137" s="1" t="s">
        <v>175</v>
      </c>
      <c r="E137" s="1">
        <v>39280</v>
      </c>
      <c r="F137" s="2">
        <v>42953</v>
      </c>
      <c r="G137" s="1">
        <v>3</v>
      </c>
      <c r="H137" s="1" t="s">
        <v>181</v>
      </c>
      <c r="I137" s="1" t="s">
        <v>214</v>
      </c>
    </row>
    <row r="138" spans="1:9" x14ac:dyDescent="0.35">
      <c r="A138" s="4" t="s">
        <v>145</v>
      </c>
      <c r="B138" s="1" t="s">
        <v>162</v>
      </c>
      <c r="C138" s="1" t="s">
        <v>166</v>
      </c>
      <c r="D138" s="1" t="s">
        <v>174</v>
      </c>
      <c r="E138" s="1">
        <v>60335</v>
      </c>
      <c r="F138" s="2">
        <v>42960</v>
      </c>
      <c r="G138" s="1">
        <v>4</v>
      </c>
      <c r="H138" s="1" t="s">
        <v>179</v>
      </c>
      <c r="I138" s="1" t="s">
        <v>227</v>
      </c>
    </row>
    <row r="139" spans="1:9" x14ac:dyDescent="0.35">
      <c r="A139" s="4" t="s">
        <v>146</v>
      </c>
      <c r="B139" s="1" t="s">
        <v>164</v>
      </c>
      <c r="C139" s="1" t="s">
        <v>167</v>
      </c>
      <c r="D139" s="1" t="s">
        <v>172</v>
      </c>
      <c r="E139" s="1">
        <v>84968</v>
      </c>
      <c r="F139" s="2">
        <v>42967</v>
      </c>
      <c r="G139" s="1"/>
      <c r="H139" s="1"/>
      <c r="I139" s="1" t="s">
        <v>276</v>
      </c>
    </row>
    <row r="140" spans="1:9" x14ac:dyDescent="0.35">
      <c r="A140" s="4" t="s">
        <v>147</v>
      </c>
      <c r="B140" s="1" t="s">
        <v>164</v>
      </c>
      <c r="C140" s="1" t="s">
        <v>170</v>
      </c>
      <c r="D140" s="1" t="s">
        <v>176</v>
      </c>
      <c r="E140" s="1">
        <v>84750</v>
      </c>
      <c r="F140" s="2">
        <v>42974</v>
      </c>
      <c r="G140" s="1">
        <v>4</v>
      </c>
      <c r="H140" s="1" t="s">
        <v>181</v>
      </c>
      <c r="I140" s="1" t="s">
        <v>195</v>
      </c>
    </row>
    <row r="141" spans="1:9" x14ac:dyDescent="0.35">
      <c r="A141" s="4" t="s">
        <v>148</v>
      </c>
      <c r="B141" s="1" t="s">
        <v>165</v>
      </c>
      <c r="C141" s="1" t="s">
        <v>169</v>
      </c>
      <c r="D141" s="1"/>
      <c r="E141" s="1">
        <v>73348</v>
      </c>
      <c r="F141" s="2">
        <v>42981</v>
      </c>
      <c r="G141" s="1">
        <v>2</v>
      </c>
      <c r="H141" s="1"/>
      <c r="I141" s="1" t="s">
        <v>243</v>
      </c>
    </row>
    <row r="142" spans="1:9" x14ac:dyDescent="0.35">
      <c r="A142" s="4" t="s">
        <v>149</v>
      </c>
      <c r="B142" s="1" t="s">
        <v>164</v>
      </c>
      <c r="C142" s="1" t="s">
        <v>168</v>
      </c>
      <c r="D142" s="1" t="s">
        <v>173</v>
      </c>
      <c r="E142" s="1" t="s">
        <v>177</v>
      </c>
      <c r="F142" s="2">
        <v>42988</v>
      </c>
      <c r="G142" s="1">
        <v>4</v>
      </c>
      <c r="H142" s="1" t="s">
        <v>179</v>
      </c>
      <c r="I142" s="1" t="s">
        <v>182</v>
      </c>
    </row>
    <row r="143" spans="1:9" x14ac:dyDescent="0.35">
      <c r="A143" s="4" t="s">
        <v>150</v>
      </c>
      <c r="B143" s="1" t="s">
        <v>162</v>
      </c>
      <c r="C143" s="1" t="s">
        <v>170</v>
      </c>
      <c r="D143" s="1" t="s">
        <v>173</v>
      </c>
      <c r="E143" s="1">
        <v>66882</v>
      </c>
      <c r="F143" s="2">
        <v>42995</v>
      </c>
      <c r="G143" s="1">
        <v>5</v>
      </c>
      <c r="H143" s="1" t="s">
        <v>179</v>
      </c>
      <c r="I143" s="1" t="s">
        <v>207</v>
      </c>
    </row>
    <row r="144" spans="1:9" x14ac:dyDescent="0.35">
      <c r="A144" s="4" t="s">
        <v>151</v>
      </c>
      <c r="B144" s="1" t="s">
        <v>160</v>
      </c>
      <c r="C144" s="1" t="s">
        <v>170</v>
      </c>
      <c r="D144" s="1"/>
      <c r="E144" s="1">
        <v>86775</v>
      </c>
      <c r="F144" s="2">
        <v>43002</v>
      </c>
      <c r="G144" s="1">
        <v>3</v>
      </c>
      <c r="H144" s="1" t="s">
        <v>179</v>
      </c>
      <c r="I144" s="1" t="s">
        <v>212</v>
      </c>
    </row>
    <row r="145" spans="1:9" x14ac:dyDescent="0.35">
      <c r="A145" s="4" t="s">
        <v>152</v>
      </c>
      <c r="B145" s="1" t="s">
        <v>164</v>
      </c>
      <c r="C145" s="1" t="s">
        <v>168</v>
      </c>
      <c r="D145" s="1" t="s">
        <v>175</v>
      </c>
      <c r="E145" s="1">
        <v>91620</v>
      </c>
      <c r="F145" s="2">
        <v>43009</v>
      </c>
      <c r="G145" s="1"/>
      <c r="H145" s="1"/>
      <c r="I145" s="1" t="s">
        <v>277</v>
      </c>
    </row>
    <row r="146" spans="1:9" x14ac:dyDescent="0.35">
      <c r="A146" s="4" t="s">
        <v>153</v>
      </c>
      <c r="B146" s="1" t="s">
        <v>159</v>
      </c>
      <c r="C146" s="1"/>
      <c r="D146" s="1"/>
      <c r="E146" s="1">
        <v>94148</v>
      </c>
      <c r="F146" s="2">
        <v>43016</v>
      </c>
      <c r="G146" s="1">
        <v>2</v>
      </c>
      <c r="H146" s="1"/>
      <c r="I146" s="1" t="s">
        <v>278</v>
      </c>
    </row>
    <row r="147" spans="1:9" x14ac:dyDescent="0.35">
      <c r="A147" s="4" t="s">
        <v>154</v>
      </c>
      <c r="B147" s="1" t="s">
        <v>163</v>
      </c>
      <c r="C147" s="1" t="s">
        <v>168</v>
      </c>
      <c r="D147" s="1" t="s">
        <v>176</v>
      </c>
      <c r="E147" s="1">
        <v>35627</v>
      </c>
      <c r="F147" s="2">
        <v>43023</v>
      </c>
      <c r="G147" s="1">
        <v>5</v>
      </c>
      <c r="H147" s="1" t="s">
        <v>181</v>
      </c>
      <c r="I147" s="1" t="s">
        <v>275</v>
      </c>
    </row>
    <row r="148" spans="1:9" x14ac:dyDescent="0.35">
      <c r="A148" s="4" t="s">
        <v>155</v>
      </c>
      <c r="B148" s="1" t="s">
        <v>161</v>
      </c>
      <c r="C148" s="1" t="s">
        <v>170</v>
      </c>
      <c r="D148" s="1" t="s">
        <v>173</v>
      </c>
      <c r="E148" s="1">
        <v>57141</v>
      </c>
      <c r="F148" s="2">
        <v>43030</v>
      </c>
      <c r="G148" s="1">
        <v>2</v>
      </c>
      <c r="H148" s="1"/>
      <c r="I148" s="1" t="s">
        <v>276</v>
      </c>
    </row>
    <row r="149" spans="1:9" x14ac:dyDescent="0.35">
      <c r="A149" s="4" t="s">
        <v>156</v>
      </c>
      <c r="B149" s="1" t="s">
        <v>165</v>
      </c>
      <c r="C149" s="1" t="s">
        <v>168</v>
      </c>
      <c r="D149" s="1" t="s">
        <v>176</v>
      </c>
      <c r="E149" s="1">
        <v>65270</v>
      </c>
      <c r="F149" s="2">
        <v>43037</v>
      </c>
      <c r="G149" s="1">
        <v>1</v>
      </c>
      <c r="H149" s="1"/>
      <c r="I149" s="1" t="s">
        <v>279</v>
      </c>
    </row>
    <row r="150" spans="1:9" x14ac:dyDescent="0.35">
      <c r="A150" s="4" t="s">
        <v>157</v>
      </c>
      <c r="B150" s="1" t="s">
        <v>165</v>
      </c>
      <c r="C150" s="1"/>
      <c r="D150" s="1" t="s">
        <v>175</v>
      </c>
      <c r="E150" s="1">
        <v>67335</v>
      </c>
      <c r="F150" s="2">
        <v>43044</v>
      </c>
      <c r="G150" s="1">
        <v>1</v>
      </c>
      <c r="H150" s="1" t="s">
        <v>179</v>
      </c>
      <c r="I150" s="1" t="s">
        <v>233</v>
      </c>
    </row>
    <row r="151" spans="1:9" x14ac:dyDescent="0.35">
      <c r="A151" s="7" t="s">
        <v>158</v>
      </c>
      <c r="B151" s="8" t="s">
        <v>163</v>
      </c>
      <c r="C151" s="8" t="s">
        <v>170</v>
      </c>
      <c r="D151" s="8" t="s">
        <v>174</v>
      </c>
      <c r="E151" s="8">
        <v>98475</v>
      </c>
      <c r="F151" s="9">
        <v>43051</v>
      </c>
      <c r="G151" s="8">
        <v>5</v>
      </c>
      <c r="H151" s="8" t="s">
        <v>179</v>
      </c>
      <c r="I151" s="8" t="s">
        <v>280</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930F8-6913-4AB0-9FC1-89FC88E4098D}">
  <dimension ref="A1:U151"/>
  <sheetViews>
    <sheetView workbookViewId="0"/>
  </sheetViews>
  <sheetFormatPr defaultRowHeight="14.5" x14ac:dyDescent="0.35"/>
  <cols>
    <col min="1" max="1" width="11.26953125" bestFit="1" customWidth="1"/>
    <col min="2" max="3" width="12.26953125" bestFit="1" customWidth="1"/>
    <col min="4" max="4" width="11.453125" bestFit="1" customWidth="1"/>
    <col min="5" max="5" width="11.08984375" bestFit="1" customWidth="1"/>
    <col min="6" max="6" width="8.453125" bestFit="1" customWidth="1"/>
    <col min="7" max="7" width="7.26953125" bestFit="1" customWidth="1"/>
    <col min="8" max="8" width="13.26953125" bestFit="1" customWidth="1"/>
    <col min="9" max="9" width="17.54296875" bestFit="1" customWidth="1"/>
    <col min="10" max="10" width="8.81640625" bestFit="1" customWidth="1"/>
    <col min="11" max="11" width="20.6328125" bestFit="1" customWidth="1"/>
    <col min="12" max="12" width="8.54296875" bestFit="1" customWidth="1"/>
    <col min="13" max="13" width="14.26953125" bestFit="1" customWidth="1"/>
    <col min="14" max="14" width="18.54296875" bestFit="1" customWidth="1"/>
    <col min="15" max="15" width="19.54296875" bestFit="1" customWidth="1"/>
    <col min="16" max="16" width="8.81640625" bestFit="1" customWidth="1"/>
    <col min="17" max="17" width="10.453125" bestFit="1" customWidth="1"/>
    <col min="18" max="18" width="15.54296875" bestFit="1" customWidth="1"/>
    <col min="19" max="19" width="17.54296875" bestFit="1" customWidth="1"/>
    <col min="20" max="20" width="19.54296875" bestFit="1" customWidth="1"/>
    <col min="21" max="21" width="12.36328125" bestFit="1" customWidth="1"/>
  </cols>
  <sheetData>
    <row r="1" spans="1:21" x14ac:dyDescent="0.35">
      <c r="A1" t="s">
        <v>0</v>
      </c>
      <c r="B1" s="14" t="s">
        <v>286</v>
      </c>
      <c r="C1" s="14" t="s">
        <v>288</v>
      </c>
      <c r="D1" t="s">
        <v>1</v>
      </c>
      <c r="E1" t="s">
        <v>2</v>
      </c>
      <c r="F1" t="s">
        <v>3</v>
      </c>
      <c r="G1" s="13" t="s">
        <v>4</v>
      </c>
      <c r="H1" t="s">
        <v>5</v>
      </c>
      <c r="I1" t="s">
        <v>6</v>
      </c>
      <c r="J1" t="s">
        <v>7</v>
      </c>
      <c r="K1" t="s">
        <v>8</v>
      </c>
      <c r="L1" s="14" t="s">
        <v>281</v>
      </c>
      <c r="M1" s="14" t="s">
        <v>282</v>
      </c>
      <c r="N1" s="14" t="s">
        <v>283</v>
      </c>
      <c r="O1" s="14" t="s">
        <v>284</v>
      </c>
      <c r="P1" s="14" t="s">
        <v>285</v>
      </c>
      <c r="Q1" s="22" t="s">
        <v>292</v>
      </c>
      <c r="R1" s="22" t="s">
        <v>293</v>
      </c>
      <c r="S1" s="25" t="s">
        <v>294</v>
      </c>
      <c r="T1" s="22" t="s">
        <v>295</v>
      </c>
      <c r="U1" t="s">
        <v>312</v>
      </c>
    </row>
    <row r="2" spans="1:21" x14ac:dyDescent="0.35">
      <c r="A2" s="24" t="s">
        <v>9</v>
      </c>
      <c r="B2" s="24" t="s">
        <v>287</v>
      </c>
      <c r="C2" s="24">
        <v>1000</v>
      </c>
      <c r="D2" s="24" t="s">
        <v>178</v>
      </c>
      <c r="E2" s="24" t="s">
        <v>166</v>
      </c>
      <c r="F2" s="24" t="s">
        <v>174</v>
      </c>
      <c r="G2" s="27" t="s">
        <v>177</v>
      </c>
      <c r="H2" s="23"/>
      <c r="I2" s="24">
        <v>2</v>
      </c>
      <c r="J2" s="24" t="s">
        <v>178</v>
      </c>
      <c r="K2" s="24" t="s">
        <v>182</v>
      </c>
      <c r="L2" s="28">
        <v>65604.55</v>
      </c>
      <c r="M2" s="23">
        <v>42454.25</v>
      </c>
      <c r="N2" s="24">
        <v>2</v>
      </c>
      <c r="O2" s="24">
        <v>2</v>
      </c>
      <c r="P2" s="24" t="s">
        <v>178</v>
      </c>
      <c r="Q2" s="29">
        <v>45990</v>
      </c>
      <c r="R2" s="30">
        <v>45990.548522916666</v>
      </c>
      <c r="S2" s="26">
        <v>2016</v>
      </c>
      <c r="T2" s="26" t="s">
        <v>296</v>
      </c>
      <c r="U2" s="26">
        <f>COUNTIF(Table1_2[Country],Table1_2[Country])</f>
        <v>59</v>
      </c>
    </row>
    <row r="3" spans="1:21" x14ac:dyDescent="0.35">
      <c r="A3" s="24" t="s">
        <v>10</v>
      </c>
      <c r="B3" s="24" t="s">
        <v>287</v>
      </c>
      <c r="C3" s="24">
        <v>1001</v>
      </c>
      <c r="D3" s="24" t="s">
        <v>159</v>
      </c>
      <c r="E3" s="24" t="s">
        <v>167</v>
      </c>
      <c r="F3" s="24" t="s">
        <v>172</v>
      </c>
      <c r="G3" s="27">
        <v>54255</v>
      </c>
      <c r="H3" s="23">
        <v>42015</v>
      </c>
      <c r="I3" s="24">
        <v>1</v>
      </c>
      <c r="J3" s="24" t="s">
        <v>179</v>
      </c>
      <c r="K3" s="24" t="s">
        <v>183</v>
      </c>
      <c r="L3" s="28">
        <v>54255</v>
      </c>
      <c r="M3" s="23">
        <v>42015</v>
      </c>
      <c r="N3" s="24">
        <v>1</v>
      </c>
      <c r="O3" s="24">
        <v>1</v>
      </c>
      <c r="P3" s="24" t="s">
        <v>179</v>
      </c>
      <c r="Q3" s="29">
        <v>45990</v>
      </c>
      <c r="R3" s="30">
        <v>45990.548522916666</v>
      </c>
      <c r="S3" s="26">
        <v>2015</v>
      </c>
      <c r="T3" s="26" t="s">
        <v>297</v>
      </c>
      <c r="U3" s="26">
        <f>COUNTIF(Table1_2[Country],Table1_2[Country])</f>
        <v>23</v>
      </c>
    </row>
    <row r="4" spans="1:21" x14ac:dyDescent="0.35">
      <c r="A4" s="24" t="s">
        <v>11</v>
      </c>
      <c r="B4" s="24" t="s">
        <v>287</v>
      </c>
      <c r="C4" s="24">
        <v>1002</v>
      </c>
      <c r="D4" s="24" t="s">
        <v>160</v>
      </c>
      <c r="E4" s="24" t="s">
        <v>166</v>
      </c>
      <c r="F4" s="24" t="s">
        <v>172</v>
      </c>
      <c r="G4" s="27">
        <v>63184</v>
      </c>
      <c r="H4" s="23">
        <v>42022</v>
      </c>
      <c r="I4" s="24">
        <v>2</v>
      </c>
      <c r="J4" s="24"/>
      <c r="K4" s="24" t="s">
        <v>184</v>
      </c>
      <c r="L4" s="28">
        <v>63184</v>
      </c>
      <c r="M4" s="23">
        <v>42022</v>
      </c>
      <c r="N4" s="24">
        <v>2</v>
      </c>
      <c r="O4" s="24">
        <v>2</v>
      </c>
      <c r="P4" s="24" t="s">
        <v>180</v>
      </c>
      <c r="Q4" s="29">
        <v>45990</v>
      </c>
      <c r="R4" s="30">
        <v>45990.548522916666</v>
      </c>
      <c r="S4" s="26">
        <v>2015</v>
      </c>
      <c r="T4" s="26" t="s">
        <v>297</v>
      </c>
      <c r="U4" s="26">
        <f>COUNTIF(Table1_2[Country],Table1_2[Country])</f>
        <v>23</v>
      </c>
    </row>
    <row r="5" spans="1:21" x14ac:dyDescent="0.35">
      <c r="A5" s="24" t="s">
        <v>12</v>
      </c>
      <c r="B5" s="24" t="s">
        <v>287</v>
      </c>
      <c r="C5" s="24">
        <v>1003</v>
      </c>
      <c r="D5" s="24" t="s">
        <v>161</v>
      </c>
      <c r="E5" s="24" t="s">
        <v>168</v>
      </c>
      <c r="F5" s="24" t="s">
        <v>173</v>
      </c>
      <c r="G5" s="27">
        <v>94406</v>
      </c>
      <c r="H5" s="23">
        <v>42029</v>
      </c>
      <c r="I5" s="24">
        <v>1</v>
      </c>
      <c r="J5" s="24" t="s">
        <v>180</v>
      </c>
      <c r="K5" s="24" t="s">
        <v>185</v>
      </c>
      <c r="L5" s="28">
        <v>94406</v>
      </c>
      <c r="M5" s="23">
        <v>42029</v>
      </c>
      <c r="N5" s="24">
        <v>1</v>
      </c>
      <c r="O5" s="24">
        <v>1</v>
      </c>
      <c r="P5" s="24" t="s">
        <v>180</v>
      </c>
      <c r="Q5" s="29">
        <v>45990</v>
      </c>
      <c r="R5" s="30">
        <v>45990.548522916666</v>
      </c>
      <c r="S5" s="26">
        <v>2015</v>
      </c>
      <c r="T5" s="26" t="s">
        <v>297</v>
      </c>
      <c r="U5" s="26">
        <f>COUNTIF(Table1_2[Country],Table1_2[Country])</f>
        <v>24</v>
      </c>
    </row>
    <row r="6" spans="1:21" x14ac:dyDescent="0.35">
      <c r="A6" s="24" t="s">
        <v>13</v>
      </c>
      <c r="B6" s="24" t="s">
        <v>287</v>
      </c>
      <c r="C6" s="24">
        <v>1004</v>
      </c>
      <c r="D6" s="24" t="s">
        <v>162</v>
      </c>
      <c r="E6" s="24" t="s">
        <v>168</v>
      </c>
      <c r="F6" s="24" t="s">
        <v>172</v>
      </c>
      <c r="G6" s="27">
        <v>64120</v>
      </c>
      <c r="H6" s="23">
        <v>42036</v>
      </c>
      <c r="I6" s="24">
        <v>1</v>
      </c>
      <c r="J6" s="24" t="s">
        <v>180</v>
      </c>
      <c r="K6" s="24" t="s">
        <v>186</v>
      </c>
      <c r="L6" s="28">
        <v>64120</v>
      </c>
      <c r="M6" s="23">
        <v>42036</v>
      </c>
      <c r="N6" s="24">
        <v>1</v>
      </c>
      <c r="O6" s="24">
        <v>1</v>
      </c>
      <c r="P6" s="24" t="s">
        <v>180</v>
      </c>
      <c r="Q6" s="29">
        <v>45990</v>
      </c>
      <c r="R6" s="30">
        <v>45990.548522916666</v>
      </c>
      <c r="S6" s="26">
        <v>2015</v>
      </c>
      <c r="T6" s="26" t="s">
        <v>298</v>
      </c>
      <c r="U6" s="26">
        <f>COUNTIF(Table1_2[Country],Table1_2[Country])</f>
        <v>23</v>
      </c>
    </row>
    <row r="7" spans="1:21" x14ac:dyDescent="0.35">
      <c r="A7" s="24" t="s">
        <v>14</v>
      </c>
      <c r="B7" s="24" t="s">
        <v>287</v>
      </c>
      <c r="C7" s="24">
        <v>1005</v>
      </c>
      <c r="D7" s="24" t="s">
        <v>160</v>
      </c>
      <c r="E7" s="24" t="s">
        <v>169</v>
      </c>
      <c r="F7" s="24" t="s">
        <v>174</v>
      </c>
      <c r="G7" s="27">
        <v>78421</v>
      </c>
      <c r="H7" s="23">
        <v>42043</v>
      </c>
      <c r="I7" s="24">
        <v>2</v>
      </c>
      <c r="J7" s="24" t="s">
        <v>181</v>
      </c>
      <c r="K7" s="24" t="s">
        <v>187</v>
      </c>
      <c r="L7" s="28">
        <v>78421</v>
      </c>
      <c r="M7" s="23">
        <v>42043</v>
      </c>
      <c r="N7" s="24">
        <v>2</v>
      </c>
      <c r="O7" s="24">
        <v>2</v>
      </c>
      <c r="P7" s="24" t="s">
        <v>181</v>
      </c>
      <c r="Q7" s="29">
        <v>45990</v>
      </c>
      <c r="R7" s="30">
        <v>45990.548522916666</v>
      </c>
      <c r="S7" s="26">
        <v>2015</v>
      </c>
      <c r="T7" s="26" t="s">
        <v>298</v>
      </c>
      <c r="U7" s="26">
        <f>COUNTIF(Table1_2[Country],Table1_2[Country])</f>
        <v>59</v>
      </c>
    </row>
    <row r="8" spans="1:21" x14ac:dyDescent="0.35">
      <c r="A8" s="24" t="s">
        <v>15</v>
      </c>
      <c r="B8" s="24" t="s">
        <v>287</v>
      </c>
      <c r="C8" s="24">
        <v>1006</v>
      </c>
      <c r="D8" s="24" t="s">
        <v>163</v>
      </c>
      <c r="E8" s="24" t="s">
        <v>168</v>
      </c>
      <c r="F8" s="24" t="s">
        <v>174</v>
      </c>
      <c r="G8" s="27">
        <v>67721</v>
      </c>
      <c r="H8" s="23">
        <v>42050</v>
      </c>
      <c r="I8" s="24"/>
      <c r="J8" s="24" t="s">
        <v>180</v>
      </c>
      <c r="K8" s="24" t="s">
        <v>185</v>
      </c>
      <c r="L8" s="28">
        <v>67721</v>
      </c>
      <c r="M8" s="23">
        <v>42050</v>
      </c>
      <c r="N8" s="24">
        <v>2.7272727272727271</v>
      </c>
      <c r="O8" s="24">
        <v>3</v>
      </c>
      <c r="P8" s="24" t="s">
        <v>180</v>
      </c>
      <c r="Q8" s="29">
        <v>45990</v>
      </c>
      <c r="R8" s="30">
        <v>45990.548522916666</v>
      </c>
      <c r="S8" s="26">
        <v>2015</v>
      </c>
      <c r="T8" s="26" t="s">
        <v>298</v>
      </c>
      <c r="U8" s="26">
        <f>COUNTIF(Table1_2[Country],Table1_2[Country])</f>
        <v>59</v>
      </c>
    </row>
    <row r="9" spans="1:21" x14ac:dyDescent="0.35">
      <c r="A9" s="24" t="s">
        <v>16</v>
      </c>
      <c r="B9" s="24" t="s">
        <v>287</v>
      </c>
      <c r="C9" s="24">
        <v>1007</v>
      </c>
      <c r="D9" s="24" t="s">
        <v>164</v>
      </c>
      <c r="E9" s="24" t="s">
        <v>170</v>
      </c>
      <c r="F9" s="24" t="s">
        <v>174</v>
      </c>
      <c r="G9" s="27">
        <v>35364</v>
      </c>
      <c r="H9" s="23">
        <v>42057</v>
      </c>
      <c r="I9" s="24">
        <v>2</v>
      </c>
      <c r="J9" s="24" t="s">
        <v>179</v>
      </c>
      <c r="K9" s="24" t="s">
        <v>188</v>
      </c>
      <c r="L9" s="28">
        <v>35364</v>
      </c>
      <c r="M9" s="23">
        <v>42057</v>
      </c>
      <c r="N9" s="24">
        <v>2</v>
      </c>
      <c r="O9" s="24">
        <v>2</v>
      </c>
      <c r="P9" s="24" t="s">
        <v>179</v>
      </c>
      <c r="Q9" s="29">
        <v>45990</v>
      </c>
      <c r="R9" s="30">
        <v>45990.548522916666</v>
      </c>
      <c r="S9" s="26">
        <v>2015</v>
      </c>
      <c r="T9" s="26" t="s">
        <v>298</v>
      </c>
      <c r="U9" s="26">
        <f>COUNTIF(Table1_2[Country],Table1_2[Country])</f>
        <v>59</v>
      </c>
    </row>
    <row r="10" spans="1:21" x14ac:dyDescent="0.35">
      <c r="A10" s="24" t="s">
        <v>17</v>
      </c>
      <c r="B10" s="24" t="s">
        <v>287</v>
      </c>
      <c r="C10" s="24">
        <v>1008</v>
      </c>
      <c r="D10" s="24" t="s">
        <v>160</v>
      </c>
      <c r="E10" s="24" t="s">
        <v>169</v>
      </c>
      <c r="F10" s="24" t="s">
        <v>172</v>
      </c>
      <c r="G10" s="27">
        <v>97881</v>
      </c>
      <c r="H10" s="23">
        <v>42064</v>
      </c>
      <c r="I10" s="24"/>
      <c r="J10" s="24" t="s">
        <v>181</v>
      </c>
      <c r="K10" s="24" t="s">
        <v>189</v>
      </c>
      <c r="L10" s="28">
        <v>97881</v>
      </c>
      <c r="M10" s="23">
        <v>42064</v>
      </c>
      <c r="N10" s="24">
        <v>2.9444444444444446</v>
      </c>
      <c r="O10" s="24">
        <v>3</v>
      </c>
      <c r="P10" s="24" t="s">
        <v>181</v>
      </c>
      <c r="Q10" s="29">
        <v>45990</v>
      </c>
      <c r="R10" s="30">
        <v>45990.548522916666</v>
      </c>
      <c r="S10" s="26">
        <v>2015</v>
      </c>
      <c r="T10" s="26" t="s">
        <v>296</v>
      </c>
      <c r="U10" s="26">
        <f>COUNTIF(Table1_2[Country],Table1_2[Country])</f>
        <v>23</v>
      </c>
    </row>
    <row r="11" spans="1:21" x14ac:dyDescent="0.35">
      <c r="A11" s="24" t="s">
        <v>18</v>
      </c>
      <c r="B11" s="24" t="s">
        <v>287</v>
      </c>
      <c r="C11" s="24">
        <v>1009</v>
      </c>
      <c r="D11" s="24" t="s">
        <v>164</v>
      </c>
      <c r="E11" s="24" t="s">
        <v>167</v>
      </c>
      <c r="F11" s="24" t="s">
        <v>175</v>
      </c>
      <c r="G11" s="27">
        <v>91846</v>
      </c>
      <c r="H11" s="23">
        <v>42071</v>
      </c>
      <c r="I11" s="24"/>
      <c r="J11" s="24" t="s">
        <v>180</v>
      </c>
      <c r="K11" s="24" t="s">
        <v>190</v>
      </c>
      <c r="L11" s="28">
        <v>91846</v>
      </c>
      <c r="M11" s="23">
        <v>42071</v>
      </c>
      <c r="N11" s="24">
        <v>2.7</v>
      </c>
      <c r="O11" s="24">
        <v>3</v>
      </c>
      <c r="P11" s="24" t="s">
        <v>180</v>
      </c>
      <c r="Q11" s="29">
        <v>45990</v>
      </c>
      <c r="R11" s="30">
        <v>45990.548522916666</v>
      </c>
      <c r="S11" s="26">
        <v>2015</v>
      </c>
      <c r="T11" s="26" t="s">
        <v>296</v>
      </c>
      <c r="U11" s="26">
        <f>COUNTIF(Table1_2[Country],Table1_2[Country])</f>
        <v>25</v>
      </c>
    </row>
    <row r="12" spans="1:21" x14ac:dyDescent="0.35">
      <c r="A12" s="24" t="s">
        <v>19</v>
      </c>
      <c r="B12" s="24" t="s">
        <v>287</v>
      </c>
      <c r="C12" s="24">
        <v>1010</v>
      </c>
      <c r="D12" s="24" t="s">
        <v>163</v>
      </c>
      <c r="E12" s="24" t="s">
        <v>166</v>
      </c>
      <c r="F12" s="24" t="s">
        <v>175</v>
      </c>
      <c r="G12" s="27">
        <v>64247</v>
      </c>
      <c r="H12" s="23">
        <v>42078</v>
      </c>
      <c r="I12" s="24">
        <v>1</v>
      </c>
      <c r="J12" s="24" t="s">
        <v>181</v>
      </c>
      <c r="K12" s="24" t="s">
        <v>191</v>
      </c>
      <c r="L12" s="28">
        <v>64247</v>
      </c>
      <c r="M12" s="23">
        <v>42078</v>
      </c>
      <c r="N12" s="24">
        <v>1</v>
      </c>
      <c r="O12" s="24">
        <v>1</v>
      </c>
      <c r="P12" s="24" t="s">
        <v>181</v>
      </c>
      <c r="Q12" s="29">
        <v>45990</v>
      </c>
      <c r="R12" s="30">
        <v>45990.548522916666</v>
      </c>
      <c r="S12" s="26">
        <v>2015</v>
      </c>
      <c r="T12" s="26" t="s">
        <v>296</v>
      </c>
      <c r="U12" s="26">
        <f>COUNTIF(Table1_2[Country],Table1_2[Country])</f>
        <v>25</v>
      </c>
    </row>
    <row r="13" spans="1:21" x14ac:dyDescent="0.35">
      <c r="A13" s="24" t="s">
        <v>20</v>
      </c>
      <c r="B13" s="24" t="s">
        <v>287</v>
      </c>
      <c r="C13" s="24">
        <v>1011</v>
      </c>
      <c r="D13" s="24" t="s">
        <v>163</v>
      </c>
      <c r="E13" s="24" t="s">
        <v>169</v>
      </c>
      <c r="F13" s="24" t="s">
        <v>173</v>
      </c>
      <c r="G13" s="27">
        <v>91180</v>
      </c>
      <c r="H13" s="23">
        <v>42085</v>
      </c>
      <c r="I13" s="24">
        <v>5</v>
      </c>
      <c r="J13" s="24" t="s">
        <v>180</v>
      </c>
      <c r="K13" s="24" t="s">
        <v>192</v>
      </c>
      <c r="L13" s="28">
        <v>91180</v>
      </c>
      <c r="M13" s="23">
        <v>42085</v>
      </c>
      <c r="N13" s="24">
        <v>5</v>
      </c>
      <c r="O13" s="24">
        <v>5</v>
      </c>
      <c r="P13" s="24" t="s">
        <v>180</v>
      </c>
      <c r="Q13" s="29">
        <v>45990</v>
      </c>
      <c r="R13" s="30">
        <v>45990.548522916666</v>
      </c>
      <c r="S13" s="26">
        <v>2015</v>
      </c>
      <c r="T13" s="26" t="s">
        <v>296</v>
      </c>
      <c r="U13" s="26">
        <f>COUNTIF(Table1_2[Country],Table1_2[Country])</f>
        <v>24</v>
      </c>
    </row>
    <row r="14" spans="1:21" x14ac:dyDescent="0.35">
      <c r="A14" s="24" t="s">
        <v>21</v>
      </c>
      <c r="B14" s="24" t="s">
        <v>287</v>
      </c>
      <c r="C14" s="24">
        <v>1012</v>
      </c>
      <c r="D14" s="24" t="s">
        <v>165</v>
      </c>
      <c r="E14" s="24" t="s">
        <v>168</v>
      </c>
      <c r="F14" s="24" t="s">
        <v>174</v>
      </c>
      <c r="G14" s="27">
        <v>96418</v>
      </c>
      <c r="H14" s="23">
        <v>42092</v>
      </c>
      <c r="I14" s="24">
        <v>5</v>
      </c>
      <c r="J14" s="24" t="s">
        <v>180</v>
      </c>
      <c r="K14" s="24" t="s">
        <v>183</v>
      </c>
      <c r="L14" s="28">
        <v>96418</v>
      </c>
      <c r="M14" s="23">
        <v>42092</v>
      </c>
      <c r="N14" s="24">
        <v>5</v>
      </c>
      <c r="O14" s="24">
        <v>5</v>
      </c>
      <c r="P14" s="24" t="s">
        <v>180</v>
      </c>
      <c r="Q14" s="29">
        <v>45990</v>
      </c>
      <c r="R14" s="30">
        <v>45990.548522916666</v>
      </c>
      <c r="S14" s="26">
        <v>2015</v>
      </c>
      <c r="T14" s="26" t="s">
        <v>296</v>
      </c>
      <c r="U14" s="26">
        <f>COUNTIF(Table1_2[Country],Table1_2[Country])</f>
        <v>59</v>
      </c>
    </row>
    <row r="15" spans="1:21" x14ac:dyDescent="0.35">
      <c r="A15" s="24" t="s">
        <v>22</v>
      </c>
      <c r="B15" s="24" t="s">
        <v>287</v>
      </c>
      <c r="C15" s="24">
        <v>1013</v>
      </c>
      <c r="D15" s="24" t="s">
        <v>163</v>
      </c>
      <c r="E15" s="24" t="s">
        <v>170</v>
      </c>
      <c r="F15" s="24" t="s">
        <v>174</v>
      </c>
      <c r="G15" s="27">
        <v>62158</v>
      </c>
      <c r="H15" s="23">
        <v>42099</v>
      </c>
      <c r="I15" s="24">
        <v>4</v>
      </c>
      <c r="J15" s="24"/>
      <c r="K15" s="24" t="s">
        <v>193</v>
      </c>
      <c r="L15" s="28">
        <v>62158</v>
      </c>
      <c r="M15" s="23">
        <v>42099</v>
      </c>
      <c r="N15" s="24">
        <v>4</v>
      </c>
      <c r="O15" s="24">
        <v>4</v>
      </c>
      <c r="P15" s="24" t="s">
        <v>180</v>
      </c>
      <c r="Q15" s="29">
        <v>45990</v>
      </c>
      <c r="R15" s="30">
        <v>45990.548522916666</v>
      </c>
      <c r="S15" s="26">
        <v>2015</v>
      </c>
      <c r="T15" s="26" t="s">
        <v>299</v>
      </c>
      <c r="U15" s="26">
        <f>COUNTIF(Table1_2[Country],Table1_2[Country])</f>
        <v>59</v>
      </c>
    </row>
    <row r="16" spans="1:21" x14ac:dyDescent="0.35">
      <c r="A16" s="24" t="s">
        <v>23</v>
      </c>
      <c r="B16" s="24" t="s">
        <v>287</v>
      </c>
      <c r="C16" s="24">
        <v>1014</v>
      </c>
      <c r="D16" s="24" t="s">
        <v>162</v>
      </c>
      <c r="E16" s="24" t="s">
        <v>167</v>
      </c>
      <c r="F16" s="24" t="s">
        <v>174</v>
      </c>
      <c r="G16" s="27">
        <v>59894</v>
      </c>
      <c r="H16" s="23">
        <v>42106</v>
      </c>
      <c r="I16" s="24">
        <v>2</v>
      </c>
      <c r="J16" s="24" t="s">
        <v>180</v>
      </c>
      <c r="K16" s="24" t="s">
        <v>194</v>
      </c>
      <c r="L16" s="28">
        <v>59894</v>
      </c>
      <c r="M16" s="23">
        <v>42106</v>
      </c>
      <c r="N16" s="24">
        <v>2</v>
      </c>
      <c r="O16" s="24">
        <v>2</v>
      </c>
      <c r="P16" s="24" t="s">
        <v>180</v>
      </c>
      <c r="Q16" s="29">
        <v>45990</v>
      </c>
      <c r="R16" s="30">
        <v>45990.548522916666</v>
      </c>
      <c r="S16" s="26">
        <v>2015</v>
      </c>
      <c r="T16" s="26" t="s">
        <v>299</v>
      </c>
      <c r="U16" s="26">
        <f>COUNTIF(Table1_2[Country],Table1_2[Country])</f>
        <v>59</v>
      </c>
    </row>
    <row r="17" spans="1:21" x14ac:dyDescent="0.35">
      <c r="A17" s="24" t="s">
        <v>24</v>
      </c>
      <c r="B17" s="24" t="s">
        <v>287</v>
      </c>
      <c r="C17" s="24">
        <v>1015</v>
      </c>
      <c r="D17" s="24" t="s">
        <v>178</v>
      </c>
      <c r="E17" s="24" t="s">
        <v>169</v>
      </c>
      <c r="F17" s="24" t="s">
        <v>174</v>
      </c>
      <c r="G17" s="27">
        <v>92443</v>
      </c>
      <c r="H17" s="23">
        <v>42113</v>
      </c>
      <c r="I17" s="24">
        <v>3</v>
      </c>
      <c r="J17" s="24" t="s">
        <v>179</v>
      </c>
      <c r="K17" s="24" t="s">
        <v>195</v>
      </c>
      <c r="L17" s="28">
        <v>92443</v>
      </c>
      <c r="M17" s="23">
        <v>42113</v>
      </c>
      <c r="N17" s="24">
        <v>3</v>
      </c>
      <c r="O17" s="24">
        <v>3</v>
      </c>
      <c r="P17" s="24" t="s">
        <v>179</v>
      </c>
      <c r="Q17" s="29">
        <v>45990</v>
      </c>
      <c r="R17" s="30">
        <v>45990.548522916666</v>
      </c>
      <c r="S17" s="26">
        <v>2015</v>
      </c>
      <c r="T17" s="26" t="s">
        <v>299</v>
      </c>
      <c r="U17" s="26">
        <f>COUNTIF(Table1_2[Country],Table1_2[Country])</f>
        <v>59</v>
      </c>
    </row>
    <row r="18" spans="1:21" x14ac:dyDescent="0.35">
      <c r="A18" s="24" t="s">
        <v>25</v>
      </c>
      <c r="B18" s="24" t="s">
        <v>287</v>
      </c>
      <c r="C18" s="24">
        <v>1016</v>
      </c>
      <c r="D18" s="24" t="s">
        <v>165</v>
      </c>
      <c r="E18" s="24" t="s">
        <v>170</v>
      </c>
      <c r="F18" s="24" t="s">
        <v>172</v>
      </c>
      <c r="G18" s="27">
        <v>90271</v>
      </c>
      <c r="H18" s="23">
        <v>42120</v>
      </c>
      <c r="I18" s="24"/>
      <c r="J18" s="24"/>
      <c r="K18" s="24" t="s">
        <v>196</v>
      </c>
      <c r="L18" s="28">
        <v>90271</v>
      </c>
      <c r="M18" s="23">
        <v>42120</v>
      </c>
      <c r="N18" s="24">
        <v>3.1086956521739131</v>
      </c>
      <c r="O18" s="24">
        <v>3</v>
      </c>
      <c r="P18" s="24" t="s">
        <v>180</v>
      </c>
      <c r="Q18" s="29">
        <v>45990</v>
      </c>
      <c r="R18" s="30">
        <v>45990.548522916666</v>
      </c>
      <c r="S18" s="26">
        <v>2015</v>
      </c>
      <c r="T18" s="26" t="s">
        <v>299</v>
      </c>
      <c r="U18" s="26">
        <f>COUNTIF(Table1_2[Country],Table1_2[Country])</f>
        <v>23</v>
      </c>
    </row>
    <row r="19" spans="1:21" x14ac:dyDescent="0.35">
      <c r="A19" s="24" t="s">
        <v>26</v>
      </c>
      <c r="B19" s="24" t="s">
        <v>287</v>
      </c>
      <c r="C19" s="24">
        <v>1017</v>
      </c>
      <c r="D19" s="24" t="s">
        <v>162</v>
      </c>
      <c r="E19" s="24" t="s">
        <v>166</v>
      </c>
      <c r="F19" s="24" t="s">
        <v>176</v>
      </c>
      <c r="G19" s="27">
        <v>41341</v>
      </c>
      <c r="H19" s="23">
        <v>42127</v>
      </c>
      <c r="I19" s="24">
        <v>1</v>
      </c>
      <c r="J19" s="24" t="s">
        <v>179</v>
      </c>
      <c r="K19" s="24" t="s">
        <v>197</v>
      </c>
      <c r="L19" s="28">
        <v>41341</v>
      </c>
      <c r="M19" s="23">
        <v>42127</v>
      </c>
      <c r="N19" s="24">
        <v>1</v>
      </c>
      <c r="O19" s="24">
        <v>1</v>
      </c>
      <c r="P19" s="24" t="s">
        <v>179</v>
      </c>
      <c r="Q19" s="29">
        <v>45990</v>
      </c>
      <c r="R19" s="30">
        <v>45990.548522916666</v>
      </c>
      <c r="S19" s="26">
        <v>2015</v>
      </c>
      <c r="T19" s="26" t="s">
        <v>300</v>
      </c>
      <c r="U19" s="26">
        <f>COUNTIF(Table1_2[Country],Table1_2[Country])</f>
        <v>19</v>
      </c>
    </row>
    <row r="20" spans="1:21" x14ac:dyDescent="0.35">
      <c r="A20" s="24" t="s">
        <v>27</v>
      </c>
      <c r="B20" s="24" t="s">
        <v>287</v>
      </c>
      <c r="C20" s="24">
        <v>1018</v>
      </c>
      <c r="D20" s="24" t="s">
        <v>160</v>
      </c>
      <c r="E20" s="24" t="s">
        <v>166</v>
      </c>
      <c r="F20" s="24" t="s">
        <v>175</v>
      </c>
      <c r="G20" s="27">
        <v>73602</v>
      </c>
      <c r="H20" s="23">
        <v>42134</v>
      </c>
      <c r="I20" s="24"/>
      <c r="J20" s="24"/>
      <c r="K20" s="24" t="s">
        <v>198</v>
      </c>
      <c r="L20" s="28">
        <v>73602</v>
      </c>
      <c r="M20" s="23">
        <v>42134</v>
      </c>
      <c r="N20" s="24">
        <v>2.5789473684210527</v>
      </c>
      <c r="O20" s="24">
        <v>3</v>
      </c>
      <c r="P20" s="24" t="s">
        <v>180</v>
      </c>
      <c r="Q20" s="29">
        <v>45990</v>
      </c>
      <c r="R20" s="30">
        <v>45990.548522916666</v>
      </c>
      <c r="S20" s="26">
        <v>2015</v>
      </c>
      <c r="T20" s="26" t="s">
        <v>300</v>
      </c>
      <c r="U20" s="26">
        <f>COUNTIF(Table1_2[Country],Table1_2[Country])</f>
        <v>25</v>
      </c>
    </row>
    <row r="21" spans="1:21" x14ac:dyDescent="0.35">
      <c r="A21" s="24" t="s">
        <v>28</v>
      </c>
      <c r="B21" s="24" t="s">
        <v>287</v>
      </c>
      <c r="C21" s="24">
        <v>1019</v>
      </c>
      <c r="D21" s="24" t="s">
        <v>159</v>
      </c>
      <c r="E21" s="24" t="s">
        <v>170</v>
      </c>
      <c r="F21" s="24" t="s">
        <v>174</v>
      </c>
      <c r="G21" s="27">
        <v>67531</v>
      </c>
      <c r="H21" s="23">
        <v>42141</v>
      </c>
      <c r="I21" s="24">
        <v>5</v>
      </c>
      <c r="J21" s="24" t="s">
        <v>181</v>
      </c>
      <c r="K21" s="24" t="s">
        <v>199</v>
      </c>
      <c r="L21" s="28">
        <v>67531</v>
      </c>
      <c r="M21" s="23">
        <v>42141</v>
      </c>
      <c r="N21" s="24">
        <v>5</v>
      </c>
      <c r="O21" s="24">
        <v>5</v>
      </c>
      <c r="P21" s="24" t="s">
        <v>181</v>
      </c>
      <c r="Q21" s="29">
        <v>45990</v>
      </c>
      <c r="R21" s="30">
        <v>45990.548522916666</v>
      </c>
      <c r="S21" s="26">
        <v>2015</v>
      </c>
      <c r="T21" s="26" t="s">
        <v>300</v>
      </c>
      <c r="U21" s="26">
        <f>COUNTIF(Table1_2[Country],Table1_2[Country])</f>
        <v>59</v>
      </c>
    </row>
    <row r="22" spans="1:21" x14ac:dyDescent="0.35">
      <c r="A22" s="24" t="s">
        <v>29</v>
      </c>
      <c r="B22" s="24" t="s">
        <v>287</v>
      </c>
      <c r="C22" s="24">
        <v>1020</v>
      </c>
      <c r="D22" s="24" t="s">
        <v>162</v>
      </c>
      <c r="E22" s="24" t="s">
        <v>167</v>
      </c>
      <c r="F22" s="24" t="s">
        <v>173</v>
      </c>
      <c r="G22" s="27" t="s">
        <v>177</v>
      </c>
      <c r="H22" s="23">
        <v>42148</v>
      </c>
      <c r="I22" s="24">
        <v>2</v>
      </c>
      <c r="J22" s="24" t="s">
        <v>179</v>
      </c>
      <c r="K22" s="24" t="s">
        <v>200</v>
      </c>
      <c r="L22" s="28">
        <v>67834.565217391311</v>
      </c>
      <c r="M22" s="23">
        <v>42148</v>
      </c>
      <c r="N22" s="24">
        <v>2</v>
      </c>
      <c r="O22" s="24">
        <v>2</v>
      </c>
      <c r="P22" s="24" t="s">
        <v>179</v>
      </c>
      <c r="Q22" s="29">
        <v>45990</v>
      </c>
      <c r="R22" s="30">
        <v>45990.548522916666</v>
      </c>
      <c r="S22" s="26">
        <v>2015</v>
      </c>
      <c r="T22" s="26" t="s">
        <v>300</v>
      </c>
      <c r="U22" s="26">
        <f>COUNTIF(Table1_2[Country],Table1_2[Country])</f>
        <v>24</v>
      </c>
    </row>
    <row r="23" spans="1:21" x14ac:dyDescent="0.35">
      <c r="A23" s="24" t="s">
        <v>30</v>
      </c>
      <c r="B23" s="24" t="s">
        <v>287</v>
      </c>
      <c r="C23" s="24">
        <v>1021</v>
      </c>
      <c r="D23" s="24" t="s">
        <v>162</v>
      </c>
      <c r="E23" s="24" t="s">
        <v>167</v>
      </c>
      <c r="F23" s="24" t="s">
        <v>174</v>
      </c>
      <c r="G23" s="27">
        <v>98922</v>
      </c>
      <c r="H23" s="23">
        <v>42155</v>
      </c>
      <c r="I23" s="24">
        <v>4</v>
      </c>
      <c r="J23" s="24"/>
      <c r="K23" s="24" t="s">
        <v>201</v>
      </c>
      <c r="L23" s="28">
        <v>98922</v>
      </c>
      <c r="M23" s="23">
        <v>42155</v>
      </c>
      <c r="N23" s="24">
        <v>4</v>
      </c>
      <c r="O23" s="24">
        <v>4</v>
      </c>
      <c r="P23" s="24" t="s">
        <v>180</v>
      </c>
      <c r="Q23" s="29">
        <v>45990</v>
      </c>
      <c r="R23" s="30">
        <v>45990.548522916666</v>
      </c>
      <c r="S23" s="26">
        <v>2015</v>
      </c>
      <c r="T23" s="26" t="s">
        <v>300</v>
      </c>
      <c r="U23" s="26">
        <f>COUNTIF(Table1_2[Country],Table1_2[Country])</f>
        <v>59</v>
      </c>
    </row>
    <row r="24" spans="1:21" x14ac:dyDescent="0.35">
      <c r="A24" s="24" t="s">
        <v>31</v>
      </c>
      <c r="B24" s="24" t="s">
        <v>287</v>
      </c>
      <c r="C24" s="24">
        <v>1022</v>
      </c>
      <c r="D24" s="24" t="s">
        <v>159</v>
      </c>
      <c r="E24" s="24" t="s">
        <v>166</v>
      </c>
      <c r="F24" s="24" t="s">
        <v>174</v>
      </c>
      <c r="G24" s="27">
        <v>38333</v>
      </c>
      <c r="H24" s="23">
        <v>42162</v>
      </c>
      <c r="I24" s="24">
        <v>5</v>
      </c>
      <c r="J24" s="24"/>
      <c r="K24" s="24" t="s">
        <v>202</v>
      </c>
      <c r="L24" s="28">
        <v>38333</v>
      </c>
      <c r="M24" s="23">
        <v>42162</v>
      </c>
      <c r="N24" s="24">
        <v>5</v>
      </c>
      <c r="O24" s="24">
        <v>5</v>
      </c>
      <c r="P24" s="24" t="s">
        <v>180</v>
      </c>
      <c r="Q24" s="29">
        <v>45990</v>
      </c>
      <c r="R24" s="30">
        <v>45990.548522916666</v>
      </c>
      <c r="S24" s="26">
        <v>2015</v>
      </c>
      <c r="T24" s="26" t="s">
        <v>301</v>
      </c>
      <c r="U24" s="26">
        <f>COUNTIF(Table1_2[Country],Table1_2[Country])</f>
        <v>59</v>
      </c>
    </row>
    <row r="25" spans="1:21" x14ac:dyDescent="0.35">
      <c r="A25" s="24" t="s">
        <v>32</v>
      </c>
      <c r="B25" s="24" t="s">
        <v>287</v>
      </c>
      <c r="C25" s="24">
        <v>1023</v>
      </c>
      <c r="D25" s="24" t="s">
        <v>160</v>
      </c>
      <c r="E25" s="24" t="s">
        <v>170</v>
      </c>
      <c r="F25" s="24" t="s">
        <v>175</v>
      </c>
      <c r="G25" s="27">
        <v>36515</v>
      </c>
      <c r="H25" s="23">
        <v>42169</v>
      </c>
      <c r="I25" s="24">
        <v>3</v>
      </c>
      <c r="J25" s="24" t="s">
        <v>180</v>
      </c>
      <c r="K25" s="24" t="s">
        <v>203</v>
      </c>
      <c r="L25" s="28">
        <v>36515</v>
      </c>
      <c r="M25" s="23">
        <v>42169</v>
      </c>
      <c r="N25" s="24">
        <v>3</v>
      </c>
      <c r="O25" s="24">
        <v>3</v>
      </c>
      <c r="P25" s="24" t="s">
        <v>180</v>
      </c>
      <c r="Q25" s="29">
        <v>45990</v>
      </c>
      <c r="R25" s="30">
        <v>45990.548522916666</v>
      </c>
      <c r="S25" s="26">
        <v>2015</v>
      </c>
      <c r="T25" s="26" t="s">
        <v>301</v>
      </c>
      <c r="U25" s="26">
        <f>COUNTIF(Table1_2[Country],Table1_2[Country])</f>
        <v>25</v>
      </c>
    </row>
    <row r="26" spans="1:21" x14ac:dyDescent="0.35">
      <c r="A26" s="24" t="s">
        <v>33</v>
      </c>
      <c r="B26" s="24" t="s">
        <v>287</v>
      </c>
      <c r="C26" s="24">
        <v>1024</v>
      </c>
      <c r="D26" s="24" t="s">
        <v>163</v>
      </c>
      <c r="E26" s="24" t="s">
        <v>166</v>
      </c>
      <c r="F26" s="24" t="s">
        <v>174</v>
      </c>
      <c r="G26" s="27">
        <v>91005</v>
      </c>
      <c r="H26" s="23">
        <v>42176</v>
      </c>
      <c r="I26" s="24">
        <v>1</v>
      </c>
      <c r="J26" s="24" t="s">
        <v>179</v>
      </c>
      <c r="K26" s="24" t="s">
        <v>204</v>
      </c>
      <c r="L26" s="28">
        <v>91005</v>
      </c>
      <c r="M26" s="23">
        <v>42176</v>
      </c>
      <c r="N26" s="24">
        <v>1</v>
      </c>
      <c r="O26" s="24">
        <v>1</v>
      </c>
      <c r="P26" s="24" t="s">
        <v>179</v>
      </c>
      <c r="Q26" s="29">
        <v>45990</v>
      </c>
      <c r="R26" s="30">
        <v>45990.548522916666</v>
      </c>
      <c r="S26" s="26">
        <v>2015</v>
      </c>
      <c r="T26" s="26" t="s">
        <v>301</v>
      </c>
      <c r="U26" s="26">
        <f>COUNTIF(Table1_2[Country],Table1_2[Country])</f>
        <v>59</v>
      </c>
    </row>
    <row r="27" spans="1:21" x14ac:dyDescent="0.35">
      <c r="A27" s="24" t="s">
        <v>34</v>
      </c>
      <c r="B27" s="24" t="s">
        <v>287</v>
      </c>
      <c r="C27" s="24">
        <v>1025</v>
      </c>
      <c r="D27" s="24" t="s">
        <v>164</v>
      </c>
      <c r="E27" s="24" t="s">
        <v>170</v>
      </c>
      <c r="F27" s="24" t="s">
        <v>174</v>
      </c>
      <c r="G27" s="27">
        <v>52272</v>
      </c>
      <c r="H27" s="23">
        <v>42183</v>
      </c>
      <c r="I27" s="24">
        <v>3</v>
      </c>
      <c r="J27" s="24"/>
      <c r="K27" s="24" t="s">
        <v>205</v>
      </c>
      <c r="L27" s="28">
        <v>52272</v>
      </c>
      <c r="M27" s="23">
        <v>42183</v>
      </c>
      <c r="N27" s="24">
        <v>3</v>
      </c>
      <c r="O27" s="24">
        <v>3</v>
      </c>
      <c r="P27" s="24" t="s">
        <v>180</v>
      </c>
      <c r="Q27" s="29">
        <v>45990</v>
      </c>
      <c r="R27" s="30">
        <v>45990.548522916666</v>
      </c>
      <c r="S27" s="26">
        <v>2015</v>
      </c>
      <c r="T27" s="26" t="s">
        <v>301</v>
      </c>
      <c r="U27" s="26">
        <f>COUNTIF(Table1_2[Country],Table1_2[Country])</f>
        <v>59</v>
      </c>
    </row>
    <row r="28" spans="1:21" x14ac:dyDescent="0.35">
      <c r="A28" s="24" t="s">
        <v>35</v>
      </c>
      <c r="B28" s="24" t="s">
        <v>287</v>
      </c>
      <c r="C28" s="24">
        <v>1026</v>
      </c>
      <c r="D28" s="24" t="s">
        <v>159</v>
      </c>
      <c r="E28" s="24" t="s">
        <v>168</v>
      </c>
      <c r="F28" s="24" t="s">
        <v>172</v>
      </c>
      <c r="G28" s="27">
        <v>76518</v>
      </c>
      <c r="H28" s="23">
        <v>42190</v>
      </c>
      <c r="I28" s="24">
        <v>2</v>
      </c>
      <c r="J28" s="24" t="s">
        <v>181</v>
      </c>
      <c r="K28" s="24" t="s">
        <v>206</v>
      </c>
      <c r="L28" s="28">
        <v>76518</v>
      </c>
      <c r="M28" s="23">
        <v>42190</v>
      </c>
      <c r="N28" s="24">
        <v>2</v>
      </c>
      <c r="O28" s="24">
        <v>2</v>
      </c>
      <c r="P28" s="24" t="s">
        <v>181</v>
      </c>
      <c r="Q28" s="29">
        <v>45990</v>
      </c>
      <c r="R28" s="30">
        <v>45990.548522916666</v>
      </c>
      <c r="S28" s="26">
        <v>2015</v>
      </c>
      <c r="T28" s="26" t="s">
        <v>302</v>
      </c>
      <c r="U28" s="26">
        <f>COUNTIF(Table1_2[Country],Table1_2[Country])</f>
        <v>23</v>
      </c>
    </row>
    <row r="29" spans="1:21" x14ac:dyDescent="0.35">
      <c r="A29" s="24" t="s">
        <v>36</v>
      </c>
      <c r="B29" s="24" t="s">
        <v>287</v>
      </c>
      <c r="C29" s="24">
        <v>1027</v>
      </c>
      <c r="D29" s="24" t="s">
        <v>160</v>
      </c>
      <c r="E29" s="24" t="s">
        <v>169</v>
      </c>
      <c r="F29" s="24" t="s">
        <v>175</v>
      </c>
      <c r="G29" s="27">
        <v>41448</v>
      </c>
      <c r="H29" s="23">
        <v>42197</v>
      </c>
      <c r="I29" s="24">
        <v>3</v>
      </c>
      <c r="J29" s="24" t="s">
        <v>179</v>
      </c>
      <c r="K29" s="24" t="s">
        <v>207</v>
      </c>
      <c r="L29" s="28">
        <v>41448</v>
      </c>
      <c r="M29" s="23">
        <v>42197</v>
      </c>
      <c r="N29" s="24">
        <v>3</v>
      </c>
      <c r="O29" s="24">
        <v>3</v>
      </c>
      <c r="P29" s="24" t="s">
        <v>179</v>
      </c>
      <c r="Q29" s="29">
        <v>45990</v>
      </c>
      <c r="R29" s="30">
        <v>45990.548522916666</v>
      </c>
      <c r="S29" s="26">
        <v>2015</v>
      </c>
      <c r="T29" s="26" t="s">
        <v>302</v>
      </c>
      <c r="U29" s="26">
        <f>COUNTIF(Table1_2[Country],Table1_2[Country])</f>
        <v>25</v>
      </c>
    </row>
    <row r="30" spans="1:21" x14ac:dyDescent="0.35">
      <c r="A30" s="24" t="s">
        <v>37</v>
      </c>
      <c r="B30" s="24" t="s">
        <v>287</v>
      </c>
      <c r="C30" s="24">
        <v>1028</v>
      </c>
      <c r="D30" s="24" t="s">
        <v>161</v>
      </c>
      <c r="E30" s="24" t="s">
        <v>167</v>
      </c>
      <c r="F30" s="24" t="s">
        <v>175</v>
      </c>
      <c r="G30" s="27">
        <v>49282</v>
      </c>
      <c r="H30" s="23">
        <v>42204</v>
      </c>
      <c r="I30" s="24">
        <v>2</v>
      </c>
      <c r="J30" s="24" t="s">
        <v>181</v>
      </c>
      <c r="K30" s="24" t="s">
        <v>208</v>
      </c>
      <c r="L30" s="28">
        <v>49282</v>
      </c>
      <c r="M30" s="23">
        <v>42204</v>
      </c>
      <c r="N30" s="24">
        <v>2</v>
      </c>
      <c r="O30" s="24">
        <v>2</v>
      </c>
      <c r="P30" s="24" t="s">
        <v>181</v>
      </c>
      <c r="Q30" s="29">
        <v>45990</v>
      </c>
      <c r="R30" s="30">
        <v>45990.548522916666</v>
      </c>
      <c r="S30" s="26">
        <v>2015</v>
      </c>
      <c r="T30" s="26" t="s">
        <v>302</v>
      </c>
      <c r="U30" s="26">
        <f>COUNTIF(Table1_2[Country],Table1_2[Country])</f>
        <v>25</v>
      </c>
    </row>
    <row r="31" spans="1:21" x14ac:dyDescent="0.35">
      <c r="A31" s="24" t="s">
        <v>38</v>
      </c>
      <c r="B31" s="24" t="s">
        <v>287</v>
      </c>
      <c r="C31" s="24">
        <v>1029</v>
      </c>
      <c r="D31" s="24" t="s">
        <v>165</v>
      </c>
      <c r="E31" s="24" t="s">
        <v>170</v>
      </c>
      <c r="F31" s="24" t="s">
        <v>175</v>
      </c>
      <c r="G31" s="27">
        <v>92959</v>
      </c>
      <c r="H31" s="23">
        <v>42211</v>
      </c>
      <c r="I31" s="24">
        <v>5</v>
      </c>
      <c r="J31" s="24"/>
      <c r="K31" s="24" t="s">
        <v>209</v>
      </c>
      <c r="L31" s="28">
        <v>92959</v>
      </c>
      <c r="M31" s="23">
        <v>42211</v>
      </c>
      <c r="N31" s="24">
        <v>5</v>
      </c>
      <c r="O31" s="24">
        <v>5</v>
      </c>
      <c r="P31" s="24" t="s">
        <v>180</v>
      </c>
      <c r="Q31" s="29">
        <v>45990</v>
      </c>
      <c r="R31" s="30">
        <v>45990.548522916666</v>
      </c>
      <c r="S31" s="26">
        <v>2015</v>
      </c>
      <c r="T31" s="26" t="s">
        <v>302</v>
      </c>
      <c r="U31" s="26">
        <f>COUNTIF(Table1_2[Country],Table1_2[Country])</f>
        <v>25</v>
      </c>
    </row>
    <row r="32" spans="1:21" x14ac:dyDescent="0.35">
      <c r="A32" s="24" t="s">
        <v>39</v>
      </c>
      <c r="B32" s="24" t="s">
        <v>287</v>
      </c>
      <c r="C32" s="24">
        <v>1030</v>
      </c>
      <c r="D32" s="24" t="s">
        <v>178</v>
      </c>
      <c r="E32" s="24" t="s">
        <v>170</v>
      </c>
      <c r="F32" s="24" t="s">
        <v>174</v>
      </c>
      <c r="G32" s="27">
        <v>92259</v>
      </c>
      <c r="H32" s="23"/>
      <c r="I32" s="24">
        <v>1</v>
      </c>
      <c r="J32" s="24" t="s">
        <v>178</v>
      </c>
      <c r="K32" s="24" t="s">
        <v>210</v>
      </c>
      <c r="L32" s="28">
        <v>92259</v>
      </c>
      <c r="M32" s="23">
        <v>42590</v>
      </c>
      <c r="N32" s="24">
        <v>1</v>
      </c>
      <c r="O32" s="24">
        <v>1</v>
      </c>
      <c r="P32" s="24" t="s">
        <v>178</v>
      </c>
      <c r="Q32" s="29">
        <v>45990</v>
      </c>
      <c r="R32" s="30">
        <v>45990.548522916666</v>
      </c>
      <c r="S32" s="26">
        <v>2016</v>
      </c>
      <c r="T32" s="26" t="s">
        <v>303</v>
      </c>
      <c r="U32" s="26">
        <f>COUNTIF(Table1_2[Country],Table1_2[Country])</f>
        <v>59</v>
      </c>
    </row>
    <row r="33" spans="1:21" x14ac:dyDescent="0.35">
      <c r="A33" s="24" t="s">
        <v>40</v>
      </c>
      <c r="B33" s="24" t="s">
        <v>287</v>
      </c>
      <c r="C33" s="24">
        <v>1031</v>
      </c>
      <c r="D33" s="24" t="s">
        <v>159</v>
      </c>
      <c r="E33" s="24" t="s">
        <v>167</v>
      </c>
      <c r="F33" s="24" t="s">
        <v>172</v>
      </c>
      <c r="G33" s="27">
        <v>92299</v>
      </c>
      <c r="H33" s="23">
        <v>42225</v>
      </c>
      <c r="I33" s="24">
        <v>3</v>
      </c>
      <c r="J33" s="24" t="s">
        <v>180</v>
      </c>
      <c r="K33" s="24" t="s">
        <v>211</v>
      </c>
      <c r="L33" s="28">
        <v>92299</v>
      </c>
      <c r="M33" s="23">
        <v>42225</v>
      </c>
      <c r="N33" s="24">
        <v>3</v>
      </c>
      <c r="O33" s="24">
        <v>3</v>
      </c>
      <c r="P33" s="24" t="s">
        <v>180</v>
      </c>
      <c r="Q33" s="29">
        <v>45990</v>
      </c>
      <c r="R33" s="30">
        <v>45990.548522916666</v>
      </c>
      <c r="S33" s="26">
        <v>2015</v>
      </c>
      <c r="T33" s="26" t="s">
        <v>303</v>
      </c>
      <c r="U33" s="26">
        <f>COUNTIF(Table1_2[Country],Table1_2[Country])</f>
        <v>23</v>
      </c>
    </row>
    <row r="34" spans="1:21" x14ac:dyDescent="0.35">
      <c r="A34" s="24" t="s">
        <v>41</v>
      </c>
      <c r="B34" s="24" t="s">
        <v>287</v>
      </c>
      <c r="C34" s="24">
        <v>1032</v>
      </c>
      <c r="D34" s="24" t="s">
        <v>163</v>
      </c>
      <c r="E34" s="24" t="s">
        <v>167</v>
      </c>
      <c r="F34" s="24" t="s">
        <v>174</v>
      </c>
      <c r="G34" s="27">
        <v>95586</v>
      </c>
      <c r="H34" s="23">
        <v>42232</v>
      </c>
      <c r="I34" s="24">
        <v>3</v>
      </c>
      <c r="J34" s="24" t="s">
        <v>179</v>
      </c>
      <c r="K34" s="24" t="s">
        <v>212</v>
      </c>
      <c r="L34" s="28">
        <v>95586</v>
      </c>
      <c r="M34" s="23">
        <v>42232</v>
      </c>
      <c r="N34" s="24">
        <v>3</v>
      </c>
      <c r="O34" s="24">
        <v>3</v>
      </c>
      <c r="P34" s="24" t="s">
        <v>179</v>
      </c>
      <c r="Q34" s="29">
        <v>45990</v>
      </c>
      <c r="R34" s="30">
        <v>45990.548522916666</v>
      </c>
      <c r="S34" s="26">
        <v>2015</v>
      </c>
      <c r="T34" s="26" t="s">
        <v>303</v>
      </c>
      <c r="U34" s="26">
        <f>COUNTIF(Table1_2[Country],Table1_2[Country])</f>
        <v>59</v>
      </c>
    </row>
    <row r="35" spans="1:21" x14ac:dyDescent="0.35">
      <c r="A35" s="24" t="s">
        <v>42</v>
      </c>
      <c r="B35" s="24" t="s">
        <v>287</v>
      </c>
      <c r="C35" s="24">
        <v>1033</v>
      </c>
      <c r="D35" s="24" t="s">
        <v>164</v>
      </c>
      <c r="E35" s="24" t="s">
        <v>170</v>
      </c>
      <c r="F35" s="24" t="s">
        <v>173</v>
      </c>
      <c r="G35" s="27">
        <v>95367</v>
      </c>
      <c r="H35" s="23">
        <v>42239</v>
      </c>
      <c r="I35" s="24"/>
      <c r="J35" s="24" t="s">
        <v>180</v>
      </c>
      <c r="K35" s="24" t="s">
        <v>213</v>
      </c>
      <c r="L35" s="28">
        <v>95367</v>
      </c>
      <c r="M35" s="23">
        <v>42239</v>
      </c>
      <c r="N35" s="24">
        <v>3.1086956521739131</v>
      </c>
      <c r="O35" s="24">
        <v>3</v>
      </c>
      <c r="P35" s="24" t="s">
        <v>180</v>
      </c>
      <c r="Q35" s="29">
        <v>45990</v>
      </c>
      <c r="R35" s="30">
        <v>45990.548522916666</v>
      </c>
      <c r="S35" s="26">
        <v>2015</v>
      </c>
      <c r="T35" s="26" t="s">
        <v>303</v>
      </c>
      <c r="U35" s="26">
        <f>COUNTIF(Table1_2[Country],Table1_2[Country])</f>
        <v>24</v>
      </c>
    </row>
    <row r="36" spans="1:21" x14ac:dyDescent="0.35">
      <c r="A36" s="24" t="s">
        <v>43</v>
      </c>
      <c r="B36" s="24" t="s">
        <v>287</v>
      </c>
      <c r="C36" s="24">
        <v>1034</v>
      </c>
      <c r="D36" s="24" t="s">
        <v>161</v>
      </c>
      <c r="E36" s="24" t="s">
        <v>168</v>
      </c>
      <c r="F36" s="24" t="s">
        <v>176</v>
      </c>
      <c r="G36" s="27">
        <v>79549</v>
      </c>
      <c r="H36" s="23">
        <v>42246</v>
      </c>
      <c r="I36" s="24">
        <v>3</v>
      </c>
      <c r="J36" s="24"/>
      <c r="K36" s="24" t="s">
        <v>214</v>
      </c>
      <c r="L36" s="28">
        <v>79549</v>
      </c>
      <c r="M36" s="23">
        <v>42246</v>
      </c>
      <c r="N36" s="24">
        <v>3</v>
      </c>
      <c r="O36" s="24">
        <v>3</v>
      </c>
      <c r="P36" s="24" t="s">
        <v>180</v>
      </c>
      <c r="Q36" s="29">
        <v>45990</v>
      </c>
      <c r="R36" s="30">
        <v>45990.548522916666</v>
      </c>
      <c r="S36" s="26">
        <v>2015</v>
      </c>
      <c r="T36" s="26" t="s">
        <v>303</v>
      </c>
      <c r="U36" s="26">
        <f>COUNTIF(Table1_2[Country],Table1_2[Country])</f>
        <v>19</v>
      </c>
    </row>
    <row r="37" spans="1:21" x14ac:dyDescent="0.35">
      <c r="A37" s="24" t="s">
        <v>44</v>
      </c>
      <c r="B37" s="24" t="s">
        <v>287</v>
      </c>
      <c r="C37" s="24">
        <v>1035</v>
      </c>
      <c r="D37" s="24" t="s">
        <v>160</v>
      </c>
      <c r="E37" s="24" t="s">
        <v>170</v>
      </c>
      <c r="F37" s="24" t="s">
        <v>175</v>
      </c>
      <c r="G37" s="27">
        <v>54463</v>
      </c>
      <c r="H37" s="23">
        <v>42253</v>
      </c>
      <c r="I37" s="24">
        <v>4</v>
      </c>
      <c r="J37" s="24" t="s">
        <v>180</v>
      </c>
      <c r="K37" s="24" t="s">
        <v>182</v>
      </c>
      <c r="L37" s="28">
        <v>54463</v>
      </c>
      <c r="M37" s="23">
        <v>42253</v>
      </c>
      <c r="N37" s="24">
        <v>4</v>
      </c>
      <c r="O37" s="24">
        <v>4</v>
      </c>
      <c r="P37" s="24" t="s">
        <v>180</v>
      </c>
      <c r="Q37" s="29">
        <v>45990</v>
      </c>
      <c r="R37" s="30">
        <v>45990.548522916666</v>
      </c>
      <c r="S37" s="26">
        <v>2015</v>
      </c>
      <c r="T37" s="26" t="s">
        <v>304</v>
      </c>
      <c r="U37" s="26">
        <f>COUNTIF(Table1_2[Country],Table1_2[Country])</f>
        <v>25</v>
      </c>
    </row>
    <row r="38" spans="1:21" x14ac:dyDescent="0.35">
      <c r="A38" s="24" t="s">
        <v>45</v>
      </c>
      <c r="B38" s="24" t="s">
        <v>287</v>
      </c>
      <c r="C38" s="24">
        <v>1036</v>
      </c>
      <c r="D38" s="24" t="s">
        <v>160</v>
      </c>
      <c r="E38" s="24" t="s">
        <v>169</v>
      </c>
      <c r="F38" s="24" t="s">
        <v>173</v>
      </c>
      <c r="G38" s="27">
        <v>89781</v>
      </c>
      <c r="H38" s="23">
        <v>42260</v>
      </c>
      <c r="I38" s="24"/>
      <c r="J38" s="24" t="s">
        <v>181</v>
      </c>
      <c r="K38" s="24" t="s">
        <v>215</v>
      </c>
      <c r="L38" s="28">
        <v>89781</v>
      </c>
      <c r="M38" s="23">
        <v>42260</v>
      </c>
      <c r="N38" s="24">
        <v>2.9444444444444446</v>
      </c>
      <c r="O38" s="24">
        <v>3</v>
      </c>
      <c r="P38" s="24" t="s">
        <v>181</v>
      </c>
      <c r="Q38" s="29">
        <v>45990</v>
      </c>
      <c r="R38" s="30">
        <v>45990.548522916666</v>
      </c>
      <c r="S38" s="26">
        <v>2015</v>
      </c>
      <c r="T38" s="26" t="s">
        <v>304</v>
      </c>
      <c r="U38" s="26">
        <f>COUNTIF(Table1_2[Country],Table1_2[Country])</f>
        <v>24</v>
      </c>
    </row>
    <row r="39" spans="1:21" x14ac:dyDescent="0.35">
      <c r="A39" s="24" t="s">
        <v>46</v>
      </c>
      <c r="B39" s="24" t="s">
        <v>287</v>
      </c>
      <c r="C39" s="24">
        <v>1037</v>
      </c>
      <c r="D39" s="24" t="s">
        <v>160</v>
      </c>
      <c r="E39" s="24" t="s">
        <v>167</v>
      </c>
      <c r="F39" s="24" t="s">
        <v>174</v>
      </c>
      <c r="G39" s="27">
        <v>64796</v>
      </c>
      <c r="H39" s="23">
        <v>42267</v>
      </c>
      <c r="I39" s="24"/>
      <c r="J39" s="24" t="s">
        <v>179</v>
      </c>
      <c r="K39" s="24" t="s">
        <v>216</v>
      </c>
      <c r="L39" s="28">
        <v>64796</v>
      </c>
      <c r="M39" s="23">
        <v>42267</v>
      </c>
      <c r="N39" s="24">
        <v>2.7</v>
      </c>
      <c r="O39" s="24">
        <v>3</v>
      </c>
      <c r="P39" s="24" t="s">
        <v>179</v>
      </c>
      <c r="Q39" s="29">
        <v>45990</v>
      </c>
      <c r="R39" s="30">
        <v>45990.548522916666</v>
      </c>
      <c r="S39" s="26">
        <v>2015</v>
      </c>
      <c r="T39" s="26" t="s">
        <v>304</v>
      </c>
      <c r="U39" s="26">
        <f>COUNTIF(Table1_2[Country],Table1_2[Country])</f>
        <v>59</v>
      </c>
    </row>
    <row r="40" spans="1:21" x14ac:dyDescent="0.35">
      <c r="A40" s="24" t="s">
        <v>47</v>
      </c>
      <c r="B40" s="24" t="s">
        <v>287</v>
      </c>
      <c r="C40" s="24">
        <v>1038</v>
      </c>
      <c r="D40" s="24" t="s">
        <v>161</v>
      </c>
      <c r="E40" s="24" t="s">
        <v>170</v>
      </c>
      <c r="F40" s="24" t="s">
        <v>175</v>
      </c>
      <c r="G40" s="27">
        <v>52093</v>
      </c>
      <c r="H40" s="23">
        <v>42274</v>
      </c>
      <c r="I40" s="24">
        <v>5</v>
      </c>
      <c r="J40" s="24"/>
      <c r="K40" s="24" t="s">
        <v>217</v>
      </c>
      <c r="L40" s="28">
        <v>52093</v>
      </c>
      <c r="M40" s="23">
        <v>42274</v>
      </c>
      <c r="N40" s="24">
        <v>5</v>
      </c>
      <c r="O40" s="24">
        <v>5</v>
      </c>
      <c r="P40" s="24" t="s">
        <v>180</v>
      </c>
      <c r="Q40" s="29">
        <v>45990</v>
      </c>
      <c r="R40" s="30">
        <v>45990.548522916666</v>
      </c>
      <c r="S40" s="26">
        <v>2015</v>
      </c>
      <c r="T40" s="26" t="s">
        <v>304</v>
      </c>
      <c r="U40" s="26">
        <f>COUNTIF(Table1_2[Country],Table1_2[Country])</f>
        <v>25</v>
      </c>
    </row>
    <row r="41" spans="1:21" x14ac:dyDescent="0.35">
      <c r="A41" s="24" t="s">
        <v>48</v>
      </c>
      <c r="B41" s="24" t="s">
        <v>287</v>
      </c>
      <c r="C41" s="24">
        <v>1039</v>
      </c>
      <c r="D41" s="24" t="s">
        <v>164</v>
      </c>
      <c r="E41" s="24" t="s">
        <v>167</v>
      </c>
      <c r="F41" s="24" t="s">
        <v>175</v>
      </c>
      <c r="G41" s="27">
        <v>48224</v>
      </c>
      <c r="H41" s="23">
        <v>42281</v>
      </c>
      <c r="I41" s="24">
        <v>3</v>
      </c>
      <c r="J41" s="24"/>
      <c r="K41" s="24" t="s">
        <v>218</v>
      </c>
      <c r="L41" s="28">
        <v>48224</v>
      </c>
      <c r="M41" s="23">
        <v>42281</v>
      </c>
      <c r="N41" s="24">
        <v>3</v>
      </c>
      <c r="O41" s="24">
        <v>3</v>
      </c>
      <c r="P41" s="24" t="s">
        <v>180</v>
      </c>
      <c r="Q41" s="29">
        <v>45990</v>
      </c>
      <c r="R41" s="30">
        <v>45990.548522916666</v>
      </c>
      <c r="S41" s="26">
        <v>2015</v>
      </c>
      <c r="T41" s="26" t="s">
        <v>305</v>
      </c>
      <c r="U41" s="26">
        <f>COUNTIF(Table1_2[Country],Table1_2[Country])</f>
        <v>25</v>
      </c>
    </row>
    <row r="42" spans="1:21" x14ac:dyDescent="0.35">
      <c r="A42" s="24" t="s">
        <v>49</v>
      </c>
      <c r="B42" s="24" t="s">
        <v>287</v>
      </c>
      <c r="C42" s="24">
        <v>1040</v>
      </c>
      <c r="D42" s="24" t="s">
        <v>165</v>
      </c>
      <c r="E42" s="24" t="s">
        <v>166</v>
      </c>
      <c r="F42" s="24" t="s">
        <v>175</v>
      </c>
      <c r="G42" s="27" t="s">
        <v>177</v>
      </c>
      <c r="H42" s="23"/>
      <c r="I42" s="24">
        <v>4</v>
      </c>
      <c r="J42" s="24" t="s">
        <v>181</v>
      </c>
      <c r="K42" s="24" t="s">
        <v>219</v>
      </c>
      <c r="L42" s="28">
        <v>65604.55</v>
      </c>
      <c r="M42" s="23">
        <v>42454.25</v>
      </c>
      <c r="N42" s="24">
        <v>4</v>
      </c>
      <c r="O42" s="24">
        <v>4</v>
      </c>
      <c r="P42" s="24" t="s">
        <v>181</v>
      </c>
      <c r="Q42" s="29">
        <v>45990</v>
      </c>
      <c r="R42" s="30">
        <v>45990.548522916666</v>
      </c>
      <c r="S42" s="26">
        <v>2016</v>
      </c>
      <c r="T42" s="26" t="s">
        <v>296</v>
      </c>
      <c r="U42" s="26">
        <f>COUNTIF(Table1_2[Country],Table1_2[Country])</f>
        <v>25</v>
      </c>
    </row>
    <row r="43" spans="1:21" x14ac:dyDescent="0.35">
      <c r="A43" s="24" t="s">
        <v>50</v>
      </c>
      <c r="B43" s="24" t="s">
        <v>287</v>
      </c>
      <c r="C43" s="24">
        <v>1041</v>
      </c>
      <c r="D43" s="24" t="s">
        <v>160</v>
      </c>
      <c r="E43" s="24" t="s">
        <v>169</v>
      </c>
      <c r="F43" s="24" t="s">
        <v>172</v>
      </c>
      <c r="G43" s="27">
        <v>33956</v>
      </c>
      <c r="H43" s="23">
        <v>42295</v>
      </c>
      <c r="I43" s="24"/>
      <c r="J43" s="24"/>
      <c r="K43" s="24" t="s">
        <v>220</v>
      </c>
      <c r="L43" s="28">
        <v>33956</v>
      </c>
      <c r="M43" s="23">
        <v>42295</v>
      </c>
      <c r="N43" s="24">
        <v>2.9444444444444446</v>
      </c>
      <c r="O43" s="24">
        <v>3</v>
      </c>
      <c r="P43" s="24" t="s">
        <v>180</v>
      </c>
      <c r="Q43" s="29">
        <v>45990</v>
      </c>
      <c r="R43" s="30">
        <v>45990.548522916666</v>
      </c>
      <c r="S43" s="26">
        <v>2015</v>
      </c>
      <c r="T43" s="26" t="s">
        <v>305</v>
      </c>
      <c r="U43" s="26">
        <f>COUNTIF(Table1_2[Country],Table1_2[Country])</f>
        <v>23</v>
      </c>
    </row>
    <row r="44" spans="1:21" x14ac:dyDescent="0.35">
      <c r="A44" s="24" t="s">
        <v>51</v>
      </c>
      <c r="B44" s="24" t="s">
        <v>287</v>
      </c>
      <c r="C44" s="24">
        <v>1042</v>
      </c>
      <c r="D44" s="24" t="s">
        <v>165</v>
      </c>
      <c r="E44" s="24" t="s">
        <v>170</v>
      </c>
      <c r="F44" s="24" t="s">
        <v>176</v>
      </c>
      <c r="G44" s="27">
        <v>64913</v>
      </c>
      <c r="H44" s="23">
        <v>42302</v>
      </c>
      <c r="I44" s="24">
        <v>1</v>
      </c>
      <c r="J44" s="24" t="s">
        <v>181</v>
      </c>
      <c r="K44" s="24" t="s">
        <v>221</v>
      </c>
      <c r="L44" s="28">
        <v>64913</v>
      </c>
      <c r="M44" s="23">
        <v>42302</v>
      </c>
      <c r="N44" s="24">
        <v>1</v>
      </c>
      <c r="O44" s="24">
        <v>1</v>
      </c>
      <c r="P44" s="24" t="s">
        <v>181</v>
      </c>
      <c r="Q44" s="29">
        <v>45990</v>
      </c>
      <c r="R44" s="30">
        <v>45990.548522916666</v>
      </c>
      <c r="S44" s="26">
        <v>2015</v>
      </c>
      <c r="T44" s="26" t="s">
        <v>305</v>
      </c>
      <c r="U44" s="26">
        <f>COUNTIF(Table1_2[Country],Table1_2[Country])</f>
        <v>19</v>
      </c>
    </row>
    <row r="45" spans="1:21" x14ac:dyDescent="0.35">
      <c r="A45" s="24" t="s">
        <v>52</v>
      </c>
      <c r="B45" s="24" t="s">
        <v>287</v>
      </c>
      <c r="C45" s="24">
        <v>1043</v>
      </c>
      <c r="D45" s="24" t="s">
        <v>160</v>
      </c>
      <c r="E45" s="24" t="s">
        <v>170</v>
      </c>
      <c r="F45" s="24" t="s">
        <v>176</v>
      </c>
      <c r="G45" s="27">
        <v>35326</v>
      </c>
      <c r="H45" s="23">
        <v>42309</v>
      </c>
      <c r="I45" s="24"/>
      <c r="J45" s="24" t="s">
        <v>181</v>
      </c>
      <c r="K45" s="24" t="s">
        <v>222</v>
      </c>
      <c r="L45" s="28">
        <v>35326</v>
      </c>
      <c r="M45" s="23">
        <v>42309</v>
      </c>
      <c r="N45" s="24">
        <v>3.1086956521739131</v>
      </c>
      <c r="O45" s="24">
        <v>3</v>
      </c>
      <c r="P45" s="24" t="s">
        <v>181</v>
      </c>
      <c r="Q45" s="29">
        <v>45990</v>
      </c>
      <c r="R45" s="30">
        <v>45990.548522916666</v>
      </c>
      <c r="S45" s="26">
        <v>2015</v>
      </c>
      <c r="T45" s="26" t="s">
        <v>306</v>
      </c>
      <c r="U45" s="26">
        <f>COUNTIF(Table1_2[Country],Table1_2[Country])</f>
        <v>19</v>
      </c>
    </row>
    <row r="46" spans="1:21" x14ac:dyDescent="0.35">
      <c r="A46" s="24" t="s">
        <v>53</v>
      </c>
      <c r="B46" s="24" t="s">
        <v>287</v>
      </c>
      <c r="C46" s="24">
        <v>1044</v>
      </c>
      <c r="D46" s="24" t="s">
        <v>164</v>
      </c>
      <c r="E46" s="24" t="s">
        <v>166</v>
      </c>
      <c r="F46" s="24" t="s">
        <v>174</v>
      </c>
      <c r="G46" s="27">
        <v>81610</v>
      </c>
      <c r="H46" s="23">
        <v>42316</v>
      </c>
      <c r="I46" s="24">
        <v>1</v>
      </c>
      <c r="J46" s="24"/>
      <c r="K46" s="24" t="s">
        <v>223</v>
      </c>
      <c r="L46" s="28">
        <v>81610</v>
      </c>
      <c r="M46" s="23">
        <v>42316</v>
      </c>
      <c r="N46" s="24">
        <v>1</v>
      </c>
      <c r="O46" s="24">
        <v>1</v>
      </c>
      <c r="P46" s="24" t="s">
        <v>180</v>
      </c>
      <c r="Q46" s="29">
        <v>45990</v>
      </c>
      <c r="R46" s="30">
        <v>45990.548522916666</v>
      </c>
      <c r="S46" s="26">
        <v>2015</v>
      </c>
      <c r="T46" s="26" t="s">
        <v>306</v>
      </c>
      <c r="U46" s="26">
        <f>COUNTIF(Table1_2[Country],Table1_2[Country])</f>
        <v>59</v>
      </c>
    </row>
    <row r="47" spans="1:21" x14ac:dyDescent="0.35">
      <c r="A47" s="24" t="s">
        <v>54</v>
      </c>
      <c r="B47" s="24" t="s">
        <v>287</v>
      </c>
      <c r="C47" s="24">
        <v>1045</v>
      </c>
      <c r="D47" s="24" t="s">
        <v>178</v>
      </c>
      <c r="E47" s="24" t="s">
        <v>167</v>
      </c>
      <c r="F47" s="24" t="s">
        <v>174</v>
      </c>
      <c r="G47" s="27">
        <v>58962</v>
      </c>
      <c r="H47" s="23">
        <v>42323</v>
      </c>
      <c r="I47" s="24">
        <v>3</v>
      </c>
      <c r="J47" s="24" t="s">
        <v>179</v>
      </c>
      <c r="K47" s="24" t="s">
        <v>183</v>
      </c>
      <c r="L47" s="28">
        <v>58962</v>
      </c>
      <c r="M47" s="23">
        <v>42323</v>
      </c>
      <c r="N47" s="24">
        <v>3</v>
      </c>
      <c r="O47" s="24">
        <v>3</v>
      </c>
      <c r="P47" s="24" t="s">
        <v>179</v>
      </c>
      <c r="Q47" s="29">
        <v>45990</v>
      </c>
      <c r="R47" s="30">
        <v>45990.548522916666</v>
      </c>
      <c r="S47" s="26">
        <v>2015</v>
      </c>
      <c r="T47" s="26" t="s">
        <v>306</v>
      </c>
      <c r="U47" s="26">
        <f>COUNTIF(Table1_2[Country],Table1_2[Country])</f>
        <v>59</v>
      </c>
    </row>
    <row r="48" spans="1:21" x14ac:dyDescent="0.35">
      <c r="A48" s="24" t="s">
        <v>55</v>
      </c>
      <c r="B48" s="24" t="s">
        <v>287</v>
      </c>
      <c r="C48" s="24">
        <v>1046</v>
      </c>
      <c r="D48" s="24" t="s">
        <v>164</v>
      </c>
      <c r="E48" s="24" t="s">
        <v>169</v>
      </c>
      <c r="F48" s="24" t="s">
        <v>172</v>
      </c>
      <c r="G48" s="27">
        <v>92701</v>
      </c>
      <c r="H48" s="23">
        <v>42330</v>
      </c>
      <c r="I48" s="24">
        <v>3</v>
      </c>
      <c r="J48" s="24" t="s">
        <v>179</v>
      </c>
      <c r="K48" s="24" t="s">
        <v>224</v>
      </c>
      <c r="L48" s="28">
        <v>92701</v>
      </c>
      <c r="M48" s="23">
        <v>42330</v>
      </c>
      <c r="N48" s="24">
        <v>3</v>
      </c>
      <c r="O48" s="24">
        <v>3</v>
      </c>
      <c r="P48" s="24" t="s">
        <v>179</v>
      </c>
      <c r="Q48" s="29">
        <v>45990</v>
      </c>
      <c r="R48" s="30">
        <v>45990.548522916666</v>
      </c>
      <c r="S48" s="26">
        <v>2015</v>
      </c>
      <c r="T48" s="26" t="s">
        <v>306</v>
      </c>
      <c r="U48" s="26">
        <f>COUNTIF(Table1_2[Country],Table1_2[Country])</f>
        <v>23</v>
      </c>
    </row>
    <row r="49" spans="1:21" x14ac:dyDescent="0.35">
      <c r="A49" s="24" t="s">
        <v>56</v>
      </c>
      <c r="B49" s="24" t="s">
        <v>287</v>
      </c>
      <c r="C49" s="24">
        <v>1047</v>
      </c>
      <c r="D49" s="24" t="s">
        <v>164</v>
      </c>
      <c r="E49" s="24" t="s">
        <v>167</v>
      </c>
      <c r="F49" s="24" t="s">
        <v>174</v>
      </c>
      <c r="G49" s="27">
        <v>58245</v>
      </c>
      <c r="H49" s="23">
        <v>42337</v>
      </c>
      <c r="I49" s="24">
        <v>4</v>
      </c>
      <c r="J49" s="24"/>
      <c r="K49" s="24" t="s">
        <v>225</v>
      </c>
      <c r="L49" s="28">
        <v>58245</v>
      </c>
      <c r="M49" s="23">
        <v>42337</v>
      </c>
      <c r="N49" s="24">
        <v>4</v>
      </c>
      <c r="O49" s="24">
        <v>4</v>
      </c>
      <c r="P49" s="24" t="s">
        <v>180</v>
      </c>
      <c r="Q49" s="29">
        <v>45990</v>
      </c>
      <c r="R49" s="30">
        <v>45990.548522916666</v>
      </c>
      <c r="S49" s="26">
        <v>2015</v>
      </c>
      <c r="T49" s="26" t="s">
        <v>306</v>
      </c>
      <c r="U49" s="26">
        <f>COUNTIF(Table1_2[Country],Table1_2[Country])</f>
        <v>59</v>
      </c>
    </row>
    <row r="50" spans="1:21" x14ac:dyDescent="0.35">
      <c r="A50" s="24" t="s">
        <v>57</v>
      </c>
      <c r="B50" s="24" t="s">
        <v>287</v>
      </c>
      <c r="C50" s="24">
        <v>1048</v>
      </c>
      <c r="D50" s="24" t="s">
        <v>161</v>
      </c>
      <c r="E50" s="24" t="s">
        <v>166</v>
      </c>
      <c r="F50" s="24" t="s">
        <v>174</v>
      </c>
      <c r="G50" s="27">
        <v>66513</v>
      </c>
      <c r="H50" s="23">
        <v>42344</v>
      </c>
      <c r="I50" s="24">
        <v>2</v>
      </c>
      <c r="J50" s="24" t="s">
        <v>179</v>
      </c>
      <c r="K50" s="24" t="s">
        <v>187</v>
      </c>
      <c r="L50" s="28">
        <v>66513</v>
      </c>
      <c r="M50" s="23">
        <v>42344</v>
      </c>
      <c r="N50" s="24">
        <v>2</v>
      </c>
      <c r="O50" s="24">
        <v>2</v>
      </c>
      <c r="P50" s="24" t="s">
        <v>179</v>
      </c>
      <c r="Q50" s="29">
        <v>45990</v>
      </c>
      <c r="R50" s="30">
        <v>45990.548522916666</v>
      </c>
      <c r="S50" s="26">
        <v>2015</v>
      </c>
      <c r="T50" s="26" t="s">
        <v>307</v>
      </c>
      <c r="U50" s="26">
        <f>COUNTIF(Table1_2[Country],Table1_2[Country])</f>
        <v>59</v>
      </c>
    </row>
    <row r="51" spans="1:21" x14ac:dyDescent="0.35">
      <c r="A51" s="24" t="s">
        <v>58</v>
      </c>
      <c r="B51" s="24" t="s">
        <v>287</v>
      </c>
      <c r="C51" s="24">
        <v>1049</v>
      </c>
      <c r="D51" s="24" t="s">
        <v>159</v>
      </c>
      <c r="E51" s="24" t="s">
        <v>167</v>
      </c>
      <c r="F51" s="24" t="s">
        <v>172</v>
      </c>
      <c r="G51" s="27">
        <v>78720</v>
      </c>
      <c r="H51" s="23">
        <v>42351</v>
      </c>
      <c r="I51" s="24">
        <v>5</v>
      </c>
      <c r="J51" s="24" t="s">
        <v>181</v>
      </c>
      <c r="K51" s="24" t="s">
        <v>219</v>
      </c>
      <c r="L51" s="28">
        <v>78720</v>
      </c>
      <c r="M51" s="23">
        <v>42351</v>
      </c>
      <c r="N51" s="24">
        <v>5</v>
      </c>
      <c r="O51" s="24">
        <v>5</v>
      </c>
      <c r="P51" s="24" t="s">
        <v>181</v>
      </c>
      <c r="Q51" s="29">
        <v>45990</v>
      </c>
      <c r="R51" s="30">
        <v>45990.548522916666</v>
      </c>
      <c r="S51" s="26">
        <v>2015</v>
      </c>
      <c r="T51" s="26" t="s">
        <v>307</v>
      </c>
      <c r="U51" s="26">
        <f>COUNTIF(Table1_2[Country],Table1_2[Country])</f>
        <v>23</v>
      </c>
    </row>
    <row r="52" spans="1:21" x14ac:dyDescent="0.35">
      <c r="A52" s="24" t="s">
        <v>59</v>
      </c>
      <c r="B52" s="24" t="s">
        <v>287</v>
      </c>
      <c r="C52" s="24">
        <v>1050</v>
      </c>
      <c r="D52" s="24" t="s">
        <v>164</v>
      </c>
      <c r="E52" s="24" t="s">
        <v>170</v>
      </c>
      <c r="F52" s="24" t="s">
        <v>174</v>
      </c>
      <c r="G52" s="27">
        <v>30686</v>
      </c>
      <c r="H52" s="23"/>
      <c r="I52" s="24">
        <v>2</v>
      </c>
      <c r="J52" s="24" t="s">
        <v>181</v>
      </c>
      <c r="K52" s="24" t="s">
        <v>226</v>
      </c>
      <c r="L52" s="28">
        <v>30686</v>
      </c>
      <c r="M52" s="23">
        <v>42590</v>
      </c>
      <c r="N52" s="24">
        <v>2</v>
      </c>
      <c r="O52" s="24">
        <v>2</v>
      </c>
      <c r="P52" s="24" t="s">
        <v>181</v>
      </c>
      <c r="Q52" s="29">
        <v>45990</v>
      </c>
      <c r="R52" s="30">
        <v>45990.548522916666</v>
      </c>
      <c r="S52" s="26">
        <v>2016</v>
      </c>
      <c r="T52" s="26" t="s">
        <v>303</v>
      </c>
      <c r="U52" s="26">
        <f>COUNTIF(Table1_2[Country],Table1_2[Country])</f>
        <v>59</v>
      </c>
    </row>
    <row r="53" spans="1:21" x14ac:dyDescent="0.35">
      <c r="A53" s="24" t="s">
        <v>60</v>
      </c>
      <c r="B53" s="24" t="s">
        <v>287</v>
      </c>
      <c r="C53" s="24">
        <v>1051</v>
      </c>
      <c r="D53" s="24" t="s">
        <v>163</v>
      </c>
      <c r="E53" s="24" t="s">
        <v>168</v>
      </c>
      <c r="F53" s="24" t="s">
        <v>174</v>
      </c>
      <c r="G53" s="27">
        <v>39423</v>
      </c>
      <c r="H53" s="23">
        <v>42365</v>
      </c>
      <c r="I53" s="24">
        <v>5</v>
      </c>
      <c r="J53" s="24"/>
      <c r="K53" s="24" t="s">
        <v>227</v>
      </c>
      <c r="L53" s="28">
        <v>39423</v>
      </c>
      <c r="M53" s="23">
        <v>42365</v>
      </c>
      <c r="N53" s="24">
        <v>5</v>
      </c>
      <c r="O53" s="24">
        <v>5</v>
      </c>
      <c r="P53" s="24" t="s">
        <v>180</v>
      </c>
      <c r="Q53" s="29">
        <v>45990</v>
      </c>
      <c r="R53" s="30">
        <v>45990.548522916666</v>
      </c>
      <c r="S53" s="26">
        <v>2015</v>
      </c>
      <c r="T53" s="26" t="s">
        <v>307</v>
      </c>
      <c r="U53" s="26">
        <f>COUNTIF(Table1_2[Country],Table1_2[Country])</f>
        <v>59</v>
      </c>
    </row>
    <row r="54" spans="1:21" x14ac:dyDescent="0.35">
      <c r="A54" s="24" t="s">
        <v>61</v>
      </c>
      <c r="B54" s="24" t="s">
        <v>287</v>
      </c>
      <c r="C54" s="24">
        <v>1052</v>
      </c>
      <c r="D54" s="24" t="s">
        <v>159</v>
      </c>
      <c r="E54" s="24" t="s">
        <v>170</v>
      </c>
      <c r="F54" s="24" t="s">
        <v>174</v>
      </c>
      <c r="G54" s="27">
        <v>30280</v>
      </c>
      <c r="H54" s="23">
        <v>42372</v>
      </c>
      <c r="I54" s="24">
        <v>1</v>
      </c>
      <c r="J54" s="24"/>
      <c r="K54" s="24" t="s">
        <v>228</v>
      </c>
      <c r="L54" s="28">
        <v>30280</v>
      </c>
      <c r="M54" s="23">
        <v>42372</v>
      </c>
      <c r="N54" s="24">
        <v>1</v>
      </c>
      <c r="O54" s="24">
        <v>1</v>
      </c>
      <c r="P54" s="24" t="s">
        <v>180</v>
      </c>
      <c r="Q54" s="29">
        <v>45990</v>
      </c>
      <c r="R54" s="30">
        <v>45990.548522916666</v>
      </c>
      <c r="S54" s="26">
        <v>2016</v>
      </c>
      <c r="T54" s="26" t="s">
        <v>297</v>
      </c>
      <c r="U54" s="26">
        <f>COUNTIF(Table1_2[Country],Table1_2[Country])</f>
        <v>59</v>
      </c>
    </row>
    <row r="55" spans="1:21" x14ac:dyDescent="0.35">
      <c r="A55" s="24" t="s">
        <v>62</v>
      </c>
      <c r="B55" s="24" t="s">
        <v>287</v>
      </c>
      <c r="C55" s="24">
        <v>1053</v>
      </c>
      <c r="D55" s="24" t="s">
        <v>159</v>
      </c>
      <c r="E55" s="24" t="s">
        <v>166</v>
      </c>
      <c r="F55" s="24" t="s">
        <v>175</v>
      </c>
      <c r="G55" s="27">
        <v>33352</v>
      </c>
      <c r="H55" s="23">
        <v>42379</v>
      </c>
      <c r="I55" s="24">
        <v>3</v>
      </c>
      <c r="J55" s="24" t="s">
        <v>181</v>
      </c>
      <c r="K55" s="24" t="s">
        <v>200</v>
      </c>
      <c r="L55" s="28">
        <v>33352</v>
      </c>
      <c r="M55" s="23">
        <v>42379</v>
      </c>
      <c r="N55" s="24">
        <v>3</v>
      </c>
      <c r="O55" s="24">
        <v>3</v>
      </c>
      <c r="P55" s="24" t="s">
        <v>181</v>
      </c>
      <c r="Q55" s="29">
        <v>45990</v>
      </c>
      <c r="R55" s="30">
        <v>45990.548522916666</v>
      </c>
      <c r="S55" s="26">
        <v>2016</v>
      </c>
      <c r="T55" s="26" t="s">
        <v>297</v>
      </c>
      <c r="U55" s="26">
        <f>COUNTIF(Table1_2[Country],Table1_2[Country])</f>
        <v>25</v>
      </c>
    </row>
    <row r="56" spans="1:21" x14ac:dyDescent="0.35">
      <c r="A56" s="24" t="s">
        <v>63</v>
      </c>
      <c r="B56" s="24" t="s">
        <v>287</v>
      </c>
      <c r="C56" s="24">
        <v>1054</v>
      </c>
      <c r="D56" s="24" t="s">
        <v>165</v>
      </c>
      <c r="E56" s="24" t="s">
        <v>170</v>
      </c>
      <c r="F56" s="24" t="s">
        <v>175</v>
      </c>
      <c r="G56" s="27">
        <v>75633</v>
      </c>
      <c r="H56" s="23">
        <v>42386</v>
      </c>
      <c r="I56" s="24">
        <v>5</v>
      </c>
      <c r="J56" s="24" t="s">
        <v>179</v>
      </c>
      <c r="K56" s="24" t="s">
        <v>229</v>
      </c>
      <c r="L56" s="28">
        <v>75633</v>
      </c>
      <c r="M56" s="23">
        <v>42386</v>
      </c>
      <c r="N56" s="24">
        <v>5</v>
      </c>
      <c r="O56" s="24">
        <v>5</v>
      </c>
      <c r="P56" s="24" t="s">
        <v>179</v>
      </c>
      <c r="Q56" s="29">
        <v>45990</v>
      </c>
      <c r="R56" s="30">
        <v>45990.548522916666</v>
      </c>
      <c r="S56" s="26">
        <v>2016</v>
      </c>
      <c r="T56" s="26" t="s">
        <v>297</v>
      </c>
      <c r="U56" s="26">
        <f>COUNTIF(Table1_2[Country],Table1_2[Country])</f>
        <v>25</v>
      </c>
    </row>
    <row r="57" spans="1:21" x14ac:dyDescent="0.35">
      <c r="A57" s="24" t="s">
        <v>64</v>
      </c>
      <c r="B57" s="24" t="s">
        <v>287</v>
      </c>
      <c r="C57" s="24">
        <v>1055</v>
      </c>
      <c r="D57" s="24" t="s">
        <v>164</v>
      </c>
      <c r="E57" s="24" t="s">
        <v>170</v>
      </c>
      <c r="F57" s="24" t="s">
        <v>173</v>
      </c>
      <c r="G57" s="27">
        <v>74815</v>
      </c>
      <c r="H57" s="23">
        <v>42393</v>
      </c>
      <c r="I57" s="24">
        <v>5</v>
      </c>
      <c r="J57" s="24" t="s">
        <v>181</v>
      </c>
      <c r="K57" s="24" t="s">
        <v>230</v>
      </c>
      <c r="L57" s="28">
        <v>74815</v>
      </c>
      <c r="M57" s="23">
        <v>42393</v>
      </c>
      <c r="N57" s="24">
        <v>5</v>
      </c>
      <c r="O57" s="24">
        <v>5</v>
      </c>
      <c r="P57" s="24" t="s">
        <v>181</v>
      </c>
      <c r="Q57" s="29">
        <v>45990</v>
      </c>
      <c r="R57" s="30">
        <v>45990.548522916666</v>
      </c>
      <c r="S57" s="26">
        <v>2016</v>
      </c>
      <c r="T57" s="26" t="s">
        <v>297</v>
      </c>
      <c r="U57" s="26">
        <f>COUNTIF(Table1_2[Country],Table1_2[Country])</f>
        <v>24</v>
      </c>
    </row>
    <row r="58" spans="1:21" x14ac:dyDescent="0.35">
      <c r="A58" s="24" t="s">
        <v>65</v>
      </c>
      <c r="B58" s="24" t="s">
        <v>287</v>
      </c>
      <c r="C58" s="24">
        <v>1056</v>
      </c>
      <c r="D58" s="24" t="s">
        <v>161</v>
      </c>
      <c r="E58" s="24" t="s">
        <v>168</v>
      </c>
      <c r="F58" s="24" t="s">
        <v>176</v>
      </c>
      <c r="G58" s="27">
        <v>60011</v>
      </c>
      <c r="H58" s="23">
        <v>42400</v>
      </c>
      <c r="I58" s="24">
        <v>1</v>
      </c>
      <c r="J58" s="24" t="s">
        <v>180</v>
      </c>
      <c r="K58" s="24" t="s">
        <v>231</v>
      </c>
      <c r="L58" s="28">
        <v>60011</v>
      </c>
      <c r="M58" s="23">
        <v>42400</v>
      </c>
      <c r="N58" s="24">
        <v>1</v>
      </c>
      <c r="O58" s="24">
        <v>1</v>
      </c>
      <c r="P58" s="24" t="s">
        <v>180</v>
      </c>
      <c r="Q58" s="29">
        <v>45990</v>
      </c>
      <c r="R58" s="30">
        <v>45990.548522916666</v>
      </c>
      <c r="S58" s="26">
        <v>2016</v>
      </c>
      <c r="T58" s="26" t="s">
        <v>297</v>
      </c>
      <c r="U58" s="26">
        <f>COUNTIF(Table1_2[Country],Table1_2[Country])</f>
        <v>19</v>
      </c>
    </row>
    <row r="59" spans="1:21" x14ac:dyDescent="0.35">
      <c r="A59" s="24" t="s">
        <v>66</v>
      </c>
      <c r="B59" s="24" t="s">
        <v>287</v>
      </c>
      <c r="C59" s="24">
        <v>1057</v>
      </c>
      <c r="D59" s="24" t="s">
        <v>159</v>
      </c>
      <c r="E59" s="24" t="s">
        <v>170</v>
      </c>
      <c r="F59" s="24" t="s">
        <v>174</v>
      </c>
      <c r="G59" s="27">
        <v>96949</v>
      </c>
      <c r="H59" s="23">
        <v>42407</v>
      </c>
      <c r="I59" s="24">
        <v>3</v>
      </c>
      <c r="J59" s="24"/>
      <c r="K59" s="24" t="s">
        <v>207</v>
      </c>
      <c r="L59" s="28">
        <v>96949</v>
      </c>
      <c r="M59" s="23">
        <v>42407</v>
      </c>
      <c r="N59" s="24">
        <v>3</v>
      </c>
      <c r="O59" s="24">
        <v>3</v>
      </c>
      <c r="P59" s="24" t="s">
        <v>180</v>
      </c>
      <c r="Q59" s="29">
        <v>45990</v>
      </c>
      <c r="R59" s="30">
        <v>45990.548522916666</v>
      </c>
      <c r="S59" s="26">
        <v>2016</v>
      </c>
      <c r="T59" s="26" t="s">
        <v>298</v>
      </c>
      <c r="U59" s="26">
        <f>COUNTIF(Table1_2[Country],Table1_2[Country])</f>
        <v>59</v>
      </c>
    </row>
    <row r="60" spans="1:21" x14ac:dyDescent="0.35">
      <c r="A60" s="24" t="s">
        <v>67</v>
      </c>
      <c r="B60" s="24" t="s">
        <v>287</v>
      </c>
      <c r="C60" s="24">
        <v>1058</v>
      </c>
      <c r="D60" s="24" t="s">
        <v>163</v>
      </c>
      <c r="E60" s="24" t="s">
        <v>170</v>
      </c>
      <c r="F60" s="24" t="s">
        <v>174</v>
      </c>
      <c r="G60" s="27">
        <v>84924</v>
      </c>
      <c r="H60" s="23">
        <v>42414</v>
      </c>
      <c r="I60" s="24">
        <v>5</v>
      </c>
      <c r="J60" s="24" t="s">
        <v>180</v>
      </c>
      <c r="K60" s="24" t="s">
        <v>232</v>
      </c>
      <c r="L60" s="28">
        <v>84924</v>
      </c>
      <c r="M60" s="23">
        <v>42414</v>
      </c>
      <c r="N60" s="24">
        <v>5</v>
      </c>
      <c r="O60" s="24">
        <v>5</v>
      </c>
      <c r="P60" s="24" t="s">
        <v>180</v>
      </c>
      <c r="Q60" s="29">
        <v>45990</v>
      </c>
      <c r="R60" s="30">
        <v>45990.548522916666</v>
      </c>
      <c r="S60" s="26">
        <v>2016</v>
      </c>
      <c r="T60" s="26" t="s">
        <v>298</v>
      </c>
      <c r="U60" s="26">
        <f>COUNTIF(Table1_2[Country],Table1_2[Country])</f>
        <v>59</v>
      </c>
    </row>
    <row r="61" spans="1:21" x14ac:dyDescent="0.35">
      <c r="A61" s="24" t="s">
        <v>68</v>
      </c>
      <c r="B61" s="24" t="s">
        <v>287</v>
      </c>
      <c r="C61" s="24">
        <v>1059</v>
      </c>
      <c r="D61" s="24" t="s">
        <v>163</v>
      </c>
      <c r="E61" s="24" t="s">
        <v>166</v>
      </c>
      <c r="F61" s="24" t="s">
        <v>173</v>
      </c>
      <c r="G61" s="27">
        <v>82033</v>
      </c>
      <c r="H61" s="23">
        <v>42421</v>
      </c>
      <c r="I61" s="24">
        <v>1</v>
      </c>
      <c r="J61" s="24"/>
      <c r="K61" s="24" t="s">
        <v>223</v>
      </c>
      <c r="L61" s="28">
        <v>82033</v>
      </c>
      <c r="M61" s="23">
        <v>42421</v>
      </c>
      <c r="N61" s="24">
        <v>1</v>
      </c>
      <c r="O61" s="24">
        <v>1</v>
      </c>
      <c r="P61" s="24" t="s">
        <v>180</v>
      </c>
      <c r="Q61" s="29">
        <v>45990</v>
      </c>
      <c r="R61" s="30">
        <v>45990.548522916666</v>
      </c>
      <c r="S61" s="26">
        <v>2016</v>
      </c>
      <c r="T61" s="26" t="s">
        <v>298</v>
      </c>
      <c r="U61" s="26">
        <f>COUNTIF(Table1_2[Country],Table1_2[Country])</f>
        <v>24</v>
      </c>
    </row>
    <row r="62" spans="1:21" x14ac:dyDescent="0.35">
      <c r="A62" s="24" t="s">
        <v>69</v>
      </c>
      <c r="B62" s="24" t="s">
        <v>287</v>
      </c>
      <c r="C62" s="24">
        <v>1060</v>
      </c>
      <c r="D62" s="24" t="s">
        <v>178</v>
      </c>
      <c r="E62" s="24" t="s">
        <v>170</v>
      </c>
      <c r="F62" s="24" t="s">
        <v>172</v>
      </c>
      <c r="G62" s="27" t="s">
        <v>177</v>
      </c>
      <c r="H62" s="23"/>
      <c r="I62" s="24">
        <v>5</v>
      </c>
      <c r="J62" s="24" t="s">
        <v>178</v>
      </c>
      <c r="K62" s="24" t="s">
        <v>233</v>
      </c>
      <c r="L62" s="28">
        <v>65071.98</v>
      </c>
      <c r="M62" s="23">
        <v>42590</v>
      </c>
      <c r="N62" s="24">
        <v>5</v>
      </c>
      <c r="O62" s="24">
        <v>5</v>
      </c>
      <c r="P62" s="24" t="s">
        <v>178</v>
      </c>
      <c r="Q62" s="29">
        <v>45990</v>
      </c>
      <c r="R62" s="30">
        <v>45990.548522916666</v>
      </c>
      <c r="S62" s="26">
        <v>2016</v>
      </c>
      <c r="T62" s="26" t="s">
        <v>303</v>
      </c>
      <c r="U62" s="26">
        <f>COUNTIF(Table1_2[Country],Table1_2[Country])</f>
        <v>23</v>
      </c>
    </row>
    <row r="63" spans="1:21" x14ac:dyDescent="0.35">
      <c r="A63" s="24" t="s">
        <v>70</v>
      </c>
      <c r="B63" s="24" t="s">
        <v>287</v>
      </c>
      <c r="C63" s="24">
        <v>1061</v>
      </c>
      <c r="D63" s="24" t="s">
        <v>159</v>
      </c>
      <c r="E63" s="24" t="s">
        <v>170</v>
      </c>
      <c r="F63" s="24" t="s">
        <v>176</v>
      </c>
      <c r="G63" s="27">
        <v>31499</v>
      </c>
      <c r="H63" s="23">
        <v>42435</v>
      </c>
      <c r="I63" s="24">
        <v>2</v>
      </c>
      <c r="J63" s="24"/>
      <c r="K63" s="24" t="s">
        <v>215</v>
      </c>
      <c r="L63" s="28">
        <v>31499</v>
      </c>
      <c r="M63" s="23">
        <v>42435</v>
      </c>
      <c r="N63" s="24">
        <v>2</v>
      </c>
      <c r="O63" s="24">
        <v>2</v>
      </c>
      <c r="P63" s="24" t="s">
        <v>180</v>
      </c>
      <c r="Q63" s="29">
        <v>45990</v>
      </c>
      <c r="R63" s="30">
        <v>45990.548522916666</v>
      </c>
      <c r="S63" s="26">
        <v>2016</v>
      </c>
      <c r="T63" s="26" t="s">
        <v>296</v>
      </c>
      <c r="U63" s="26">
        <f>COUNTIF(Table1_2[Country],Table1_2[Country])</f>
        <v>19</v>
      </c>
    </row>
    <row r="64" spans="1:21" x14ac:dyDescent="0.35">
      <c r="A64" s="24" t="s">
        <v>71</v>
      </c>
      <c r="B64" s="24" t="s">
        <v>287</v>
      </c>
      <c r="C64" s="24">
        <v>1062</v>
      </c>
      <c r="D64" s="24" t="s">
        <v>164</v>
      </c>
      <c r="E64" s="24" t="s">
        <v>169</v>
      </c>
      <c r="F64" s="24" t="s">
        <v>175</v>
      </c>
      <c r="G64" s="27">
        <v>97981</v>
      </c>
      <c r="H64" s="23">
        <v>42442</v>
      </c>
      <c r="I64" s="24">
        <v>5</v>
      </c>
      <c r="J64" s="24" t="s">
        <v>181</v>
      </c>
      <c r="K64" s="24" t="s">
        <v>234</v>
      </c>
      <c r="L64" s="28">
        <v>97981</v>
      </c>
      <c r="M64" s="23">
        <v>42442</v>
      </c>
      <c r="N64" s="24">
        <v>5</v>
      </c>
      <c r="O64" s="24">
        <v>5</v>
      </c>
      <c r="P64" s="24" t="s">
        <v>181</v>
      </c>
      <c r="Q64" s="29">
        <v>45990</v>
      </c>
      <c r="R64" s="30">
        <v>45990.548522916666</v>
      </c>
      <c r="S64" s="26">
        <v>2016</v>
      </c>
      <c r="T64" s="26" t="s">
        <v>296</v>
      </c>
      <c r="U64" s="26">
        <f>COUNTIF(Table1_2[Country],Table1_2[Country])</f>
        <v>25</v>
      </c>
    </row>
    <row r="65" spans="1:21" x14ac:dyDescent="0.35">
      <c r="A65" s="24" t="s">
        <v>72</v>
      </c>
      <c r="B65" s="24" t="s">
        <v>287</v>
      </c>
      <c r="C65" s="24">
        <v>1063</v>
      </c>
      <c r="D65" s="24" t="s">
        <v>159</v>
      </c>
      <c r="E65" s="24" t="s">
        <v>167</v>
      </c>
      <c r="F65" s="24" t="s">
        <v>173</v>
      </c>
      <c r="G65" s="27">
        <v>36541</v>
      </c>
      <c r="H65" s="23">
        <v>42449</v>
      </c>
      <c r="I65" s="24">
        <v>2</v>
      </c>
      <c r="J65" s="24" t="s">
        <v>179</v>
      </c>
      <c r="K65" s="24" t="s">
        <v>235</v>
      </c>
      <c r="L65" s="28">
        <v>36541</v>
      </c>
      <c r="M65" s="23">
        <v>42449</v>
      </c>
      <c r="N65" s="24">
        <v>2</v>
      </c>
      <c r="O65" s="24">
        <v>2</v>
      </c>
      <c r="P65" s="24" t="s">
        <v>179</v>
      </c>
      <c r="Q65" s="29">
        <v>45990</v>
      </c>
      <c r="R65" s="30">
        <v>45990.548522916666</v>
      </c>
      <c r="S65" s="26">
        <v>2016</v>
      </c>
      <c r="T65" s="26" t="s">
        <v>296</v>
      </c>
      <c r="U65" s="26">
        <f>COUNTIF(Table1_2[Country],Table1_2[Country])</f>
        <v>24</v>
      </c>
    </row>
    <row r="66" spans="1:21" x14ac:dyDescent="0.35">
      <c r="A66" s="24" t="s">
        <v>73</v>
      </c>
      <c r="B66" s="24" t="s">
        <v>287</v>
      </c>
      <c r="C66" s="24">
        <v>1064</v>
      </c>
      <c r="D66" s="24" t="s">
        <v>161</v>
      </c>
      <c r="E66" s="24" t="s">
        <v>169</v>
      </c>
      <c r="F66" s="24" t="s">
        <v>174</v>
      </c>
      <c r="G66" s="27">
        <v>84737</v>
      </c>
      <c r="H66" s="23">
        <v>42456</v>
      </c>
      <c r="I66" s="24">
        <v>1</v>
      </c>
      <c r="J66" s="24" t="s">
        <v>180</v>
      </c>
      <c r="K66" s="24" t="s">
        <v>236</v>
      </c>
      <c r="L66" s="28">
        <v>84737</v>
      </c>
      <c r="M66" s="23">
        <v>42456</v>
      </c>
      <c r="N66" s="24">
        <v>1</v>
      </c>
      <c r="O66" s="24">
        <v>1</v>
      </c>
      <c r="P66" s="24" t="s">
        <v>180</v>
      </c>
      <c r="Q66" s="29">
        <v>45990</v>
      </c>
      <c r="R66" s="30">
        <v>45990.548522916666</v>
      </c>
      <c r="S66" s="26">
        <v>2016</v>
      </c>
      <c r="T66" s="26" t="s">
        <v>296</v>
      </c>
      <c r="U66" s="26">
        <f>COUNTIF(Table1_2[Country],Table1_2[Country])</f>
        <v>59</v>
      </c>
    </row>
    <row r="67" spans="1:21" x14ac:dyDescent="0.35">
      <c r="A67" s="24" t="s">
        <v>74</v>
      </c>
      <c r="B67" s="24" t="s">
        <v>287</v>
      </c>
      <c r="C67" s="24">
        <v>1065</v>
      </c>
      <c r="D67" s="24" t="s">
        <v>163</v>
      </c>
      <c r="E67" s="24" t="s">
        <v>166</v>
      </c>
      <c r="F67" s="24" t="s">
        <v>174</v>
      </c>
      <c r="G67" s="27">
        <v>33468</v>
      </c>
      <c r="H67" s="23">
        <v>42463</v>
      </c>
      <c r="I67" s="24">
        <v>4</v>
      </c>
      <c r="J67" s="24" t="s">
        <v>180</v>
      </c>
      <c r="K67" s="24" t="s">
        <v>237</v>
      </c>
      <c r="L67" s="28">
        <v>33468</v>
      </c>
      <c r="M67" s="23">
        <v>42463</v>
      </c>
      <c r="N67" s="24">
        <v>4</v>
      </c>
      <c r="O67" s="24">
        <v>4</v>
      </c>
      <c r="P67" s="24" t="s">
        <v>180</v>
      </c>
      <c r="Q67" s="29">
        <v>45990</v>
      </c>
      <c r="R67" s="30">
        <v>45990.548522916666</v>
      </c>
      <c r="S67" s="26">
        <v>2016</v>
      </c>
      <c r="T67" s="26" t="s">
        <v>299</v>
      </c>
      <c r="U67" s="26">
        <f>COUNTIF(Table1_2[Country],Table1_2[Country])</f>
        <v>59</v>
      </c>
    </row>
    <row r="68" spans="1:21" x14ac:dyDescent="0.35">
      <c r="A68" s="24" t="s">
        <v>75</v>
      </c>
      <c r="B68" s="24" t="s">
        <v>287</v>
      </c>
      <c r="C68" s="24">
        <v>1066</v>
      </c>
      <c r="D68" s="24" t="s">
        <v>163</v>
      </c>
      <c r="E68" s="24" t="s">
        <v>170</v>
      </c>
      <c r="F68" s="24" t="s">
        <v>176</v>
      </c>
      <c r="G68" s="27">
        <v>96365</v>
      </c>
      <c r="H68" s="23">
        <v>42470</v>
      </c>
      <c r="I68" s="24">
        <v>3</v>
      </c>
      <c r="J68" s="24" t="s">
        <v>179</v>
      </c>
      <c r="K68" s="24" t="s">
        <v>238</v>
      </c>
      <c r="L68" s="28">
        <v>96365</v>
      </c>
      <c r="M68" s="23">
        <v>42470</v>
      </c>
      <c r="N68" s="24">
        <v>3</v>
      </c>
      <c r="O68" s="24">
        <v>3</v>
      </c>
      <c r="P68" s="24" t="s">
        <v>179</v>
      </c>
      <c r="Q68" s="29">
        <v>45990</v>
      </c>
      <c r="R68" s="30">
        <v>45990.548522916666</v>
      </c>
      <c r="S68" s="26">
        <v>2016</v>
      </c>
      <c r="T68" s="26" t="s">
        <v>299</v>
      </c>
      <c r="U68" s="26">
        <f>COUNTIF(Table1_2[Country],Table1_2[Country])</f>
        <v>19</v>
      </c>
    </row>
    <row r="69" spans="1:21" x14ac:dyDescent="0.35">
      <c r="A69" s="24" t="s">
        <v>76</v>
      </c>
      <c r="B69" s="24" t="s">
        <v>287</v>
      </c>
      <c r="C69" s="24">
        <v>1067</v>
      </c>
      <c r="D69" s="24" t="s">
        <v>160</v>
      </c>
      <c r="E69" s="24" t="s">
        <v>168</v>
      </c>
      <c r="F69" s="24" t="s">
        <v>174</v>
      </c>
      <c r="G69" s="27">
        <v>61942</v>
      </c>
      <c r="H69" s="23">
        <v>42477</v>
      </c>
      <c r="I69" s="24">
        <v>3</v>
      </c>
      <c r="J69" s="24" t="s">
        <v>181</v>
      </c>
      <c r="K69" s="24" t="s">
        <v>239</v>
      </c>
      <c r="L69" s="28">
        <v>61942</v>
      </c>
      <c r="M69" s="23">
        <v>42477</v>
      </c>
      <c r="N69" s="24">
        <v>3</v>
      </c>
      <c r="O69" s="24">
        <v>3</v>
      </c>
      <c r="P69" s="24" t="s">
        <v>181</v>
      </c>
      <c r="Q69" s="29">
        <v>45990</v>
      </c>
      <c r="R69" s="30">
        <v>45990.548522916666</v>
      </c>
      <c r="S69" s="26">
        <v>2016</v>
      </c>
      <c r="T69" s="26" t="s">
        <v>299</v>
      </c>
      <c r="U69" s="26">
        <f>COUNTIF(Table1_2[Country],Table1_2[Country])</f>
        <v>59</v>
      </c>
    </row>
    <row r="70" spans="1:21" x14ac:dyDescent="0.35">
      <c r="A70" s="24" t="s">
        <v>77</v>
      </c>
      <c r="B70" s="24" t="s">
        <v>287</v>
      </c>
      <c r="C70" s="24">
        <v>1068</v>
      </c>
      <c r="D70" s="24" t="s">
        <v>163</v>
      </c>
      <c r="E70" s="24" t="s">
        <v>166</v>
      </c>
      <c r="F70" s="24" t="s">
        <v>175</v>
      </c>
      <c r="G70" s="27">
        <v>41467</v>
      </c>
      <c r="H70" s="23">
        <v>42484</v>
      </c>
      <c r="I70" s="24">
        <v>2</v>
      </c>
      <c r="J70" s="24"/>
      <c r="K70" s="24" t="s">
        <v>201</v>
      </c>
      <c r="L70" s="28">
        <v>41467</v>
      </c>
      <c r="M70" s="23">
        <v>42484</v>
      </c>
      <c r="N70" s="24">
        <v>2</v>
      </c>
      <c r="O70" s="24">
        <v>2</v>
      </c>
      <c r="P70" s="24" t="s">
        <v>180</v>
      </c>
      <c r="Q70" s="29">
        <v>45990</v>
      </c>
      <c r="R70" s="30">
        <v>45990.548522916666</v>
      </c>
      <c r="S70" s="26">
        <v>2016</v>
      </c>
      <c r="T70" s="26" t="s">
        <v>299</v>
      </c>
      <c r="U70" s="26">
        <f>COUNTIF(Table1_2[Country],Table1_2[Country])</f>
        <v>25</v>
      </c>
    </row>
    <row r="71" spans="1:21" x14ac:dyDescent="0.35">
      <c r="A71" s="24" t="s">
        <v>78</v>
      </c>
      <c r="B71" s="24" t="s">
        <v>287</v>
      </c>
      <c r="C71" s="24">
        <v>1069</v>
      </c>
      <c r="D71" s="24" t="s">
        <v>165</v>
      </c>
      <c r="E71" s="24" t="s">
        <v>166</v>
      </c>
      <c r="F71" s="24" t="s">
        <v>174</v>
      </c>
      <c r="G71" s="27">
        <v>77096</v>
      </c>
      <c r="H71" s="23">
        <v>42491</v>
      </c>
      <c r="I71" s="24">
        <v>1</v>
      </c>
      <c r="J71" s="24"/>
      <c r="K71" s="24" t="s">
        <v>240</v>
      </c>
      <c r="L71" s="28">
        <v>77096</v>
      </c>
      <c r="M71" s="23">
        <v>42491</v>
      </c>
      <c r="N71" s="24">
        <v>1</v>
      </c>
      <c r="O71" s="24">
        <v>1</v>
      </c>
      <c r="P71" s="24" t="s">
        <v>180</v>
      </c>
      <c r="Q71" s="29">
        <v>45990</v>
      </c>
      <c r="R71" s="30">
        <v>45990.548522916666</v>
      </c>
      <c r="S71" s="26">
        <v>2016</v>
      </c>
      <c r="T71" s="26" t="s">
        <v>300</v>
      </c>
      <c r="U71" s="26">
        <f>COUNTIF(Table1_2[Country],Table1_2[Country])</f>
        <v>59</v>
      </c>
    </row>
    <row r="72" spans="1:21" x14ac:dyDescent="0.35">
      <c r="A72" s="24" t="s">
        <v>79</v>
      </c>
      <c r="B72" s="24" t="s">
        <v>287</v>
      </c>
      <c r="C72" s="24">
        <v>1070</v>
      </c>
      <c r="D72" s="24" t="s">
        <v>159</v>
      </c>
      <c r="E72" s="24" t="s">
        <v>168</v>
      </c>
      <c r="F72" s="24" t="s">
        <v>176</v>
      </c>
      <c r="G72" s="27">
        <v>69952</v>
      </c>
      <c r="H72" s="23">
        <v>42498</v>
      </c>
      <c r="I72" s="24">
        <v>5</v>
      </c>
      <c r="J72" s="24" t="s">
        <v>181</v>
      </c>
      <c r="K72" s="24" t="s">
        <v>182</v>
      </c>
      <c r="L72" s="28">
        <v>69952</v>
      </c>
      <c r="M72" s="23">
        <v>42498</v>
      </c>
      <c r="N72" s="24">
        <v>5</v>
      </c>
      <c r="O72" s="24">
        <v>5</v>
      </c>
      <c r="P72" s="24" t="s">
        <v>181</v>
      </c>
      <c r="Q72" s="29">
        <v>45990</v>
      </c>
      <c r="R72" s="30">
        <v>45990.548522916666</v>
      </c>
      <c r="S72" s="26">
        <v>2016</v>
      </c>
      <c r="T72" s="26" t="s">
        <v>300</v>
      </c>
      <c r="U72" s="26">
        <f>COUNTIF(Table1_2[Country],Table1_2[Country])</f>
        <v>19</v>
      </c>
    </row>
    <row r="73" spans="1:21" x14ac:dyDescent="0.35">
      <c r="A73" s="24" t="s">
        <v>80</v>
      </c>
      <c r="B73" s="24" t="s">
        <v>287</v>
      </c>
      <c r="C73" s="24">
        <v>1071</v>
      </c>
      <c r="D73" s="24" t="s">
        <v>159</v>
      </c>
      <c r="E73" s="24" t="s">
        <v>170</v>
      </c>
      <c r="F73" s="24" t="s">
        <v>173</v>
      </c>
      <c r="G73" s="27">
        <v>85065</v>
      </c>
      <c r="H73" s="23">
        <v>42505</v>
      </c>
      <c r="I73" s="24">
        <v>3</v>
      </c>
      <c r="J73" s="24"/>
      <c r="K73" s="24" t="s">
        <v>241</v>
      </c>
      <c r="L73" s="28">
        <v>85065</v>
      </c>
      <c r="M73" s="23">
        <v>42505</v>
      </c>
      <c r="N73" s="24">
        <v>3</v>
      </c>
      <c r="O73" s="24">
        <v>3</v>
      </c>
      <c r="P73" s="24" t="s">
        <v>180</v>
      </c>
      <c r="Q73" s="29">
        <v>45990</v>
      </c>
      <c r="R73" s="30">
        <v>45990.548522916666</v>
      </c>
      <c r="S73" s="26">
        <v>2016</v>
      </c>
      <c r="T73" s="26" t="s">
        <v>300</v>
      </c>
      <c r="U73" s="26">
        <f>COUNTIF(Table1_2[Country],Table1_2[Country])</f>
        <v>24</v>
      </c>
    </row>
    <row r="74" spans="1:21" x14ac:dyDescent="0.35">
      <c r="A74" s="24" t="s">
        <v>81</v>
      </c>
      <c r="B74" s="24" t="s">
        <v>287</v>
      </c>
      <c r="C74" s="24">
        <v>1072</v>
      </c>
      <c r="D74" s="24" t="s">
        <v>165</v>
      </c>
      <c r="E74" s="24" t="s">
        <v>170</v>
      </c>
      <c r="F74" s="24" t="s">
        <v>174</v>
      </c>
      <c r="G74" s="27">
        <v>56512</v>
      </c>
      <c r="H74" s="23">
        <v>42512</v>
      </c>
      <c r="I74" s="24"/>
      <c r="J74" s="24" t="s">
        <v>179</v>
      </c>
      <c r="K74" s="24" t="s">
        <v>190</v>
      </c>
      <c r="L74" s="28">
        <v>56512</v>
      </c>
      <c r="M74" s="23">
        <v>42512</v>
      </c>
      <c r="N74" s="24">
        <v>3.1086956521739131</v>
      </c>
      <c r="O74" s="24">
        <v>3</v>
      </c>
      <c r="P74" s="24" t="s">
        <v>179</v>
      </c>
      <c r="Q74" s="29">
        <v>45990</v>
      </c>
      <c r="R74" s="30">
        <v>45990.548522916666</v>
      </c>
      <c r="S74" s="26">
        <v>2016</v>
      </c>
      <c r="T74" s="26" t="s">
        <v>300</v>
      </c>
      <c r="U74" s="26">
        <f>COUNTIF(Table1_2[Country],Table1_2[Country])</f>
        <v>59</v>
      </c>
    </row>
    <row r="75" spans="1:21" x14ac:dyDescent="0.35">
      <c r="A75" s="24" t="s">
        <v>82</v>
      </c>
      <c r="B75" s="24" t="s">
        <v>287</v>
      </c>
      <c r="C75" s="24">
        <v>1073</v>
      </c>
      <c r="D75" s="24" t="s">
        <v>161</v>
      </c>
      <c r="E75" s="24" t="s">
        <v>168</v>
      </c>
      <c r="F75" s="24" t="s">
        <v>174</v>
      </c>
      <c r="G75" s="27">
        <v>91101</v>
      </c>
      <c r="H75" s="23">
        <v>42519</v>
      </c>
      <c r="I75" s="24">
        <v>4</v>
      </c>
      <c r="J75" s="24" t="s">
        <v>181</v>
      </c>
      <c r="K75" s="24" t="s">
        <v>234</v>
      </c>
      <c r="L75" s="28">
        <v>91101</v>
      </c>
      <c r="M75" s="23">
        <v>42519</v>
      </c>
      <c r="N75" s="24">
        <v>4</v>
      </c>
      <c r="O75" s="24">
        <v>4</v>
      </c>
      <c r="P75" s="24" t="s">
        <v>181</v>
      </c>
      <c r="Q75" s="29">
        <v>45990</v>
      </c>
      <c r="R75" s="30">
        <v>45990.548522916666</v>
      </c>
      <c r="S75" s="26">
        <v>2016</v>
      </c>
      <c r="T75" s="26" t="s">
        <v>300</v>
      </c>
      <c r="U75" s="26">
        <f>COUNTIF(Table1_2[Country],Table1_2[Country])</f>
        <v>59</v>
      </c>
    </row>
    <row r="76" spans="1:21" x14ac:dyDescent="0.35">
      <c r="A76" s="24" t="s">
        <v>83</v>
      </c>
      <c r="B76" s="24" t="s">
        <v>287</v>
      </c>
      <c r="C76" s="24">
        <v>1074</v>
      </c>
      <c r="D76" s="24" t="s">
        <v>163</v>
      </c>
      <c r="E76" s="24" t="s">
        <v>170</v>
      </c>
      <c r="F76" s="24" t="s">
        <v>172</v>
      </c>
      <c r="G76" s="27">
        <v>41243</v>
      </c>
      <c r="H76" s="23">
        <v>42526</v>
      </c>
      <c r="I76" s="24"/>
      <c r="J76" s="24"/>
      <c r="K76" s="24" t="s">
        <v>211</v>
      </c>
      <c r="L76" s="28">
        <v>41243</v>
      </c>
      <c r="M76" s="23">
        <v>42526</v>
      </c>
      <c r="N76" s="24">
        <v>3.1086956521739131</v>
      </c>
      <c r="O76" s="24">
        <v>3</v>
      </c>
      <c r="P76" s="24" t="s">
        <v>180</v>
      </c>
      <c r="Q76" s="29">
        <v>45990</v>
      </c>
      <c r="R76" s="30">
        <v>45990.548522916666</v>
      </c>
      <c r="S76" s="26">
        <v>2016</v>
      </c>
      <c r="T76" s="26" t="s">
        <v>301</v>
      </c>
      <c r="U76" s="26">
        <f>COUNTIF(Table1_2[Country],Table1_2[Country])</f>
        <v>23</v>
      </c>
    </row>
    <row r="77" spans="1:21" x14ac:dyDescent="0.35">
      <c r="A77" s="24" t="s">
        <v>84</v>
      </c>
      <c r="B77" s="24" t="s">
        <v>287</v>
      </c>
      <c r="C77" s="24">
        <v>1075</v>
      </c>
      <c r="D77" s="24" t="s">
        <v>178</v>
      </c>
      <c r="E77" s="24" t="s">
        <v>168</v>
      </c>
      <c r="F77" s="24" t="s">
        <v>174</v>
      </c>
      <c r="G77" s="27">
        <v>96142</v>
      </c>
      <c r="H77" s="23">
        <v>42533</v>
      </c>
      <c r="I77" s="24">
        <v>1</v>
      </c>
      <c r="J77" s="24" t="s">
        <v>179</v>
      </c>
      <c r="K77" s="24" t="s">
        <v>242</v>
      </c>
      <c r="L77" s="28">
        <v>96142</v>
      </c>
      <c r="M77" s="23">
        <v>42533</v>
      </c>
      <c r="N77" s="24">
        <v>1</v>
      </c>
      <c r="O77" s="24">
        <v>1</v>
      </c>
      <c r="P77" s="24" t="s">
        <v>179</v>
      </c>
      <c r="Q77" s="29">
        <v>45990</v>
      </c>
      <c r="R77" s="30">
        <v>45990.548522916666</v>
      </c>
      <c r="S77" s="26">
        <v>2016</v>
      </c>
      <c r="T77" s="26" t="s">
        <v>301</v>
      </c>
      <c r="U77" s="26">
        <f>COUNTIF(Table1_2[Country],Table1_2[Country])</f>
        <v>59</v>
      </c>
    </row>
    <row r="78" spans="1:21" x14ac:dyDescent="0.35">
      <c r="A78" s="24" t="s">
        <v>85</v>
      </c>
      <c r="B78" s="24" t="s">
        <v>287</v>
      </c>
      <c r="C78" s="24">
        <v>1076</v>
      </c>
      <c r="D78" s="24" t="s">
        <v>159</v>
      </c>
      <c r="E78" s="24" t="s">
        <v>169</v>
      </c>
      <c r="F78" s="24" t="s">
        <v>174</v>
      </c>
      <c r="G78" s="27">
        <v>94301</v>
      </c>
      <c r="H78" s="23">
        <v>42540</v>
      </c>
      <c r="I78" s="24">
        <v>1</v>
      </c>
      <c r="J78" s="24" t="s">
        <v>180</v>
      </c>
      <c r="K78" s="24" t="s">
        <v>223</v>
      </c>
      <c r="L78" s="28">
        <v>94301</v>
      </c>
      <c r="M78" s="23">
        <v>42540</v>
      </c>
      <c r="N78" s="24">
        <v>1</v>
      </c>
      <c r="O78" s="24">
        <v>1</v>
      </c>
      <c r="P78" s="24" t="s">
        <v>180</v>
      </c>
      <c r="Q78" s="29">
        <v>45990</v>
      </c>
      <c r="R78" s="30">
        <v>45990.548522916666</v>
      </c>
      <c r="S78" s="26">
        <v>2016</v>
      </c>
      <c r="T78" s="26" t="s">
        <v>301</v>
      </c>
      <c r="U78" s="26">
        <f>COUNTIF(Table1_2[Country],Table1_2[Country])</f>
        <v>59</v>
      </c>
    </row>
    <row r="79" spans="1:21" x14ac:dyDescent="0.35">
      <c r="A79" s="24" t="s">
        <v>86</v>
      </c>
      <c r="B79" s="24" t="s">
        <v>287</v>
      </c>
      <c r="C79" s="24">
        <v>1077</v>
      </c>
      <c r="D79" s="24" t="s">
        <v>162</v>
      </c>
      <c r="E79" s="24" t="s">
        <v>170</v>
      </c>
      <c r="F79" s="24" t="s">
        <v>175</v>
      </c>
      <c r="G79" s="27">
        <v>69166</v>
      </c>
      <c r="H79" s="23">
        <v>42547</v>
      </c>
      <c r="I79" s="24">
        <v>1</v>
      </c>
      <c r="J79" s="24" t="s">
        <v>181</v>
      </c>
      <c r="K79" s="24" t="s">
        <v>243</v>
      </c>
      <c r="L79" s="28">
        <v>69166</v>
      </c>
      <c r="M79" s="23">
        <v>42547</v>
      </c>
      <c r="N79" s="24">
        <v>1</v>
      </c>
      <c r="O79" s="24">
        <v>1</v>
      </c>
      <c r="P79" s="24" t="s">
        <v>181</v>
      </c>
      <c r="Q79" s="29">
        <v>45990</v>
      </c>
      <c r="R79" s="30">
        <v>45990.548522916666</v>
      </c>
      <c r="S79" s="26">
        <v>2016</v>
      </c>
      <c r="T79" s="26" t="s">
        <v>301</v>
      </c>
      <c r="U79" s="26">
        <f>COUNTIF(Table1_2[Country],Table1_2[Country])</f>
        <v>25</v>
      </c>
    </row>
    <row r="80" spans="1:21" x14ac:dyDescent="0.35">
      <c r="A80" s="24" t="s">
        <v>87</v>
      </c>
      <c r="B80" s="24" t="s">
        <v>287</v>
      </c>
      <c r="C80" s="24">
        <v>1078</v>
      </c>
      <c r="D80" s="24" t="s">
        <v>163</v>
      </c>
      <c r="E80" s="24" t="s">
        <v>170</v>
      </c>
      <c r="F80" s="24" t="s">
        <v>175</v>
      </c>
      <c r="G80" s="27">
        <v>78245</v>
      </c>
      <c r="H80" s="23">
        <v>42554</v>
      </c>
      <c r="I80" s="24">
        <v>2</v>
      </c>
      <c r="J80" s="24"/>
      <c r="K80" s="24" t="s">
        <v>244</v>
      </c>
      <c r="L80" s="28">
        <v>78245</v>
      </c>
      <c r="M80" s="23">
        <v>42554</v>
      </c>
      <c r="N80" s="24">
        <v>2</v>
      </c>
      <c r="O80" s="24">
        <v>2</v>
      </c>
      <c r="P80" s="24" t="s">
        <v>180</v>
      </c>
      <c r="Q80" s="29">
        <v>45990</v>
      </c>
      <c r="R80" s="30">
        <v>45990.548522916666</v>
      </c>
      <c r="S80" s="26">
        <v>2016</v>
      </c>
      <c r="T80" s="26" t="s">
        <v>302</v>
      </c>
      <c r="U80" s="26">
        <f>COUNTIF(Table1_2[Country],Table1_2[Country])</f>
        <v>25</v>
      </c>
    </row>
    <row r="81" spans="1:21" x14ac:dyDescent="0.35">
      <c r="A81" s="24" t="s">
        <v>88</v>
      </c>
      <c r="B81" s="24" t="s">
        <v>287</v>
      </c>
      <c r="C81" s="24">
        <v>1079</v>
      </c>
      <c r="D81" s="24" t="s">
        <v>164</v>
      </c>
      <c r="E81" s="24" t="s">
        <v>168</v>
      </c>
      <c r="F81" s="24" t="s">
        <v>173</v>
      </c>
      <c r="G81" s="27">
        <v>66079</v>
      </c>
      <c r="H81" s="23">
        <v>42561</v>
      </c>
      <c r="I81" s="24">
        <v>2</v>
      </c>
      <c r="J81" s="24" t="s">
        <v>179</v>
      </c>
      <c r="K81" s="24" t="s">
        <v>245</v>
      </c>
      <c r="L81" s="28">
        <v>66079</v>
      </c>
      <c r="M81" s="23">
        <v>42561</v>
      </c>
      <c r="N81" s="24">
        <v>2</v>
      </c>
      <c r="O81" s="24">
        <v>2</v>
      </c>
      <c r="P81" s="24" t="s">
        <v>179</v>
      </c>
      <c r="Q81" s="29">
        <v>45990</v>
      </c>
      <c r="R81" s="30">
        <v>45990.548522916666</v>
      </c>
      <c r="S81" s="26">
        <v>2016</v>
      </c>
      <c r="T81" s="26" t="s">
        <v>302</v>
      </c>
      <c r="U81" s="26">
        <f>COUNTIF(Table1_2[Country],Table1_2[Country])</f>
        <v>24</v>
      </c>
    </row>
    <row r="82" spans="1:21" x14ac:dyDescent="0.35">
      <c r="A82" s="24" t="s">
        <v>89</v>
      </c>
      <c r="B82" s="24" t="s">
        <v>287</v>
      </c>
      <c r="C82" s="24">
        <v>1080</v>
      </c>
      <c r="D82" s="24" t="s">
        <v>159</v>
      </c>
      <c r="E82" s="24" t="s">
        <v>170</v>
      </c>
      <c r="F82" s="24" t="s">
        <v>174</v>
      </c>
      <c r="G82" s="27" t="s">
        <v>177</v>
      </c>
      <c r="H82" s="23"/>
      <c r="I82" s="24"/>
      <c r="J82" s="24"/>
      <c r="K82" s="24" t="s">
        <v>208</v>
      </c>
      <c r="L82" s="28">
        <v>65071.98</v>
      </c>
      <c r="M82" s="23">
        <v>42590</v>
      </c>
      <c r="N82" s="24">
        <v>3.1086956521739131</v>
      </c>
      <c r="O82" s="24">
        <v>3</v>
      </c>
      <c r="P82" s="24" t="s">
        <v>180</v>
      </c>
      <c r="Q82" s="29">
        <v>45990</v>
      </c>
      <c r="R82" s="30">
        <v>45990.548522916666</v>
      </c>
      <c r="S82" s="26">
        <v>2016</v>
      </c>
      <c r="T82" s="26" t="s">
        <v>303</v>
      </c>
      <c r="U82" s="26">
        <f>COUNTIF(Table1_2[Country],Table1_2[Country])</f>
        <v>59</v>
      </c>
    </row>
    <row r="83" spans="1:21" x14ac:dyDescent="0.35">
      <c r="A83" s="24" t="s">
        <v>90</v>
      </c>
      <c r="B83" s="24" t="s">
        <v>287</v>
      </c>
      <c r="C83" s="24">
        <v>1081</v>
      </c>
      <c r="D83" s="24" t="s">
        <v>162</v>
      </c>
      <c r="E83" s="24" t="s">
        <v>168</v>
      </c>
      <c r="F83" s="24" t="s">
        <v>173</v>
      </c>
      <c r="G83" s="27">
        <v>95621</v>
      </c>
      <c r="H83" s="23">
        <v>42575</v>
      </c>
      <c r="I83" s="24">
        <v>3</v>
      </c>
      <c r="J83" s="24" t="s">
        <v>181</v>
      </c>
      <c r="K83" s="24" t="s">
        <v>246</v>
      </c>
      <c r="L83" s="28">
        <v>95621</v>
      </c>
      <c r="M83" s="23">
        <v>42575</v>
      </c>
      <c r="N83" s="24">
        <v>3</v>
      </c>
      <c r="O83" s="24">
        <v>3</v>
      </c>
      <c r="P83" s="24" t="s">
        <v>181</v>
      </c>
      <c r="Q83" s="29">
        <v>45990</v>
      </c>
      <c r="R83" s="30">
        <v>45990.548522916666</v>
      </c>
      <c r="S83" s="26">
        <v>2016</v>
      </c>
      <c r="T83" s="26" t="s">
        <v>302</v>
      </c>
      <c r="U83" s="26">
        <f>COUNTIF(Table1_2[Country],Table1_2[Country])</f>
        <v>24</v>
      </c>
    </row>
    <row r="84" spans="1:21" x14ac:dyDescent="0.35">
      <c r="A84" s="24" t="s">
        <v>91</v>
      </c>
      <c r="B84" s="24" t="s">
        <v>287</v>
      </c>
      <c r="C84" s="24">
        <v>1082</v>
      </c>
      <c r="D84" s="24" t="s">
        <v>159</v>
      </c>
      <c r="E84" s="24" t="s">
        <v>169</v>
      </c>
      <c r="F84" s="24" t="s">
        <v>175</v>
      </c>
      <c r="G84" s="27">
        <v>42262</v>
      </c>
      <c r="H84" s="23">
        <v>42582</v>
      </c>
      <c r="I84" s="24">
        <v>1</v>
      </c>
      <c r="J84" s="24"/>
      <c r="K84" s="24" t="s">
        <v>247</v>
      </c>
      <c r="L84" s="28">
        <v>42262</v>
      </c>
      <c r="M84" s="23">
        <v>42582</v>
      </c>
      <c r="N84" s="24">
        <v>1</v>
      </c>
      <c r="O84" s="24">
        <v>1</v>
      </c>
      <c r="P84" s="24" t="s">
        <v>180</v>
      </c>
      <c r="Q84" s="29">
        <v>45990</v>
      </c>
      <c r="R84" s="30">
        <v>45990.548522916666</v>
      </c>
      <c r="S84" s="26">
        <v>2016</v>
      </c>
      <c r="T84" s="26" t="s">
        <v>302</v>
      </c>
      <c r="U84" s="26">
        <f>COUNTIF(Table1_2[Country],Table1_2[Country])</f>
        <v>25</v>
      </c>
    </row>
    <row r="85" spans="1:21" x14ac:dyDescent="0.35">
      <c r="A85" s="24" t="s">
        <v>92</v>
      </c>
      <c r="B85" s="24" t="s">
        <v>287</v>
      </c>
      <c r="C85" s="24">
        <v>1083</v>
      </c>
      <c r="D85" s="24" t="s">
        <v>163</v>
      </c>
      <c r="E85" s="24" t="s">
        <v>168</v>
      </c>
      <c r="F85" s="24" t="s">
        <v>174</v>
      </c>
      <c r="G85" s="27">
        <v>99621</v>
      </c>
      <c r="H85" s="23">
        <v>42589</v>
      </c>
      <c r="I85" s="24"/>
      <c r="J85" s="24" t="s">
        <v>179</v>
      </c>
      <c r="K85" s="24" t="s">
        <v>248</v>
      </c>
      <c r="L85" s="28">
        <v>99621</v>
      </c>
      <c r="M85" s="23">
        <v>42589</v>
      </c>
      <c r="N85" s="24">
        <v>2.7272727272727271</v>
      </c>
      <c r="O85" s="24">
        <v>3</v>
      </c>
      <c r="P85" s="24" t="s">
        <v>179</v>
      </c>
      <c r="Q85" s="29">
        <v>45990</v>
      </c>
      <c r="R85" s="30">
        <v>45990.548522916666</v>
      </c>
      <c r="S85" s="26">
        <v>2016</v>
      </c>
      <c r="T85" s="26" t="s">
        <v>303</v>
      </c>
      <c r="U85" s="26">
        <f>COUNTIF(Table1_2[Country],Table1_2[Country])</f>
        <v>59</v>
      </c>
    </row>
    <row r="86" spans="1:21" x14ac:dyDescent="0.35">
      <c r="A86" s="24" t="s">
        <v>93</v>
      </c>
      <c r="B86" s="24" t="s">
        <v>287</v>
      </c>
      <c r="C86" s="24">
        <v>1084</v>
      </c>
      <c r="D86" s="24" t="s">
        <v>161</v>
      </c>
      <c r="E86" s="24" t="s">
        <v>170</v>
      </c>
      <c r="F86" s="24" t="s">
        <v>174</v>
      </c>
      <c r="G86" s="27">
        <v>44682</v>
      </c>
      <c r="H86" s="23">
        <v>42596</v>
      </c>
      <c r="I86" s="24">
        <v>4</v>
      </c>
      <c r="J86" s="24" t="s">
        <v>181</v>
      </c>
      <c r="K86" s="24" t="s">
        <v>220</v>
      </c>
      <c r="L86" s="28">
        <v>44682</v>
      </c>
      <c r="M86" s="23">
        <v>42596</v>
      </c>
      <c r="N86" s="24">
        <v>4</v>
      </c>
      <c r="O86" s="24">
        <v>4</v>
      </c>
      <c r="P86" s="24" t="s">
        <v>181</v>
      </c>
      <c r="Q86" s="29">
        <v>45990</v>
      </c>
      <c r="R86" s="30">
        <v>45990.548522916666</v>
      </c>
      <c r="S86" s="26">
        <v>2016</v>
      </c>
      <c r="T86" s="26" t="s">
        <v>303</v>
      </c>
      <c r="U86" s="26">
        <f>COUNTIF(Table1_2[Country],Table1_2[Country])</f>
        <v>59</v>
      </c>
    </row>
    <row r="87" spans="1:21" x14ac:dyDescent="0.35">
      <c r="A87" s="24" t="s">
        <v>94</v>
      </c>
      <c r="B87" s="24" t="s">
        <v>287</v>
      </c>
      <c r="C87" s="24">
        <v>1085</v>
      </c>
      <c r="D87" s="24" t="s">
        <v>164</v>
      </c>
      <c r="E87" s="24" t="s">
        <v>166</v>
      </c>
      <c r="F87" s="24" t="s">
        <v>174</v>
      </c>
      <c r="G87" s="27">
        <v>35163</v>
      </c>
      <c r="H87" s="23">
        <v>42603</v>
      </c>
      <c r="I87" s="24">
        <v>5</v>
      </c>
      <c r="J87" s="24" t="s">
        <v>179</v>
      </c>
      <c r="K87" s="24" t="s">
        <v>249</v>
      </c>
      <c r="L87" s="28">
        <v>35163</v>
      </c>
      <c r="M87" s="23">
        <v>42603</v>
      </c>
      <c r="N87" s="24">
        <v>5</v>
      </c>
      <c r="O87" s="24">
        <v>5</v>
      </c>
      <c r="P87" s="24" t="s">
        <v>179</v>
      </c>
      <c r="Q87" s="29">
        <v>45990</v>
      </c>
      <c r="R87" s="30">
        <v>45990.548522916666</v>
      </c>
      <c r="S87" s="26">
        <v>2016</v>
      </c>
      <c r="T87" s="26" t="s">
        <v>303</v>
      </c>
      <c r="U87" s="26">
        <f>COUNTIF(Table1_2[Country],Table1_2[Country])</f>
        <v>59</v>
      </c>
    </row>
    <row r="88" spans="1:21" x14ac:dyDescent="0.35">
      <c r="A88" s="24" t="s">
        <v>95</v>
      </c>
      <c r="B88" s="24" t="s">
        <v>287</v>
      </c>
      <c r="C88" s="24">
        <v>1086</v>
      </c>
      <c r="D88" s="24" t="s">
        <v>164</v>
      </c>
      <c r="E88" s="24" t="s">
        <v>169</v>
      </c>
      <c r="F88" s="24" t="s">
        <v>174</v>
      </c>
      <c r="G88" s="27">
        <v>33483</v>
      </c>
      <c r="H88" s="23">
        <v>42610</v>
      </c>
      <c r="I88" s="24">
        <v>4</v>
      </c>
      <c r="J88" s="24" t="s">
        <v>180</v>
      </c>
      <c r="K88" s="24" t="s">
        <v>250</v>
      </c>
      <c r="L88" s="28">
        <v>33483</v>
      </c>
      <c r="M88" s="23">
        <v>42610</v>
      </c>
      <c r="N88" s="24">
        <v>4</v>
      </c>
      <c r="O88" s="24">
        <v>4</v>
      </c>
      <c r="P88" s="24" t="s">
        <v>180</v>
      </c>
      <c r="Q88" s="29">
        <v>45990</v>
      </c>
      <c r="R88" s="30">
        <v>45990.548522916666</v>
      </c>
      <c r="S88" s="26">
        <v>2016</v>
      </c>
      <c r="T88" s="26" t="s">
        <v>303</v>
      </c>
      <c r="U88" s="26">
        <f>COUNTIF(Table1_2[Country],Table1_2[Country])</f>
        <v>59</v>
      </c>
    </row>
    <row r="89" spans="1:21" x14ac:dyDescent="0.35">
      <c r="A89" s="24" t="s">
        <v>96</v>
      </c>
      <c r="B89" s="24" t="s">
        <v>287</v>
      </c>
      <c r="C89" s="24">
        <v>1087</v>
      </c>
      <c r="D89" s="24" t="s">
        <v>163</v>
      </c>
      <c r="E89" s="24" t="s">
        <v>167</v>
      </c>
      <c r="F89" s="24" t="s">
        <v>172</v>
      </c>
      <c r="G89" s="27">
        <v>55303</v>
      </c>
      <c r="H89" s="23">
        <v>42617</v>
      </c>
      <c r="I89" s="24">
        <v>4</v>
      </c>
      <c r="J89" s="24" t="s">
        <v>180</v>
      </c>
      <c r="K89" s="24" t="s">
        <v>203</v>
      </c>
      <c r="L89" s="28">
        <v>55303</v>
      </c>
      <c r="M89" s="23">
        <v>42617</v>
      </c>
      <c r="N89" s="24">
        <v>4</v>
      </c>
      <c r="O89" s="24">
        <v>4</v>
      </c>
      <c r="P89" s="24" t="s">
        <v>180</v>
      </c>
      <c r="Q89" s="29">
        <v>45990</v>
      </c>
      <c r="R89" s="30">
        <v>45990.548522916666</v>
      </c>
      <c r="S89" s="26">
        <v>2016</v>
      </c>
      <c r="T89" s="26" t="s">
        <v>304</v>
      </c>
      <c r="U89" s="26">
        <f>COUNTIF(Table1_2[Country],Table1_2[Country])</f>
        <v>23</v>
      </c>
    </row>
    <row r="90" spans="1:21" x14ac:dyDescent="0.35">
      <c r="A90" s="24" t="s">
        <v>97</v>
      </c>
      <c r="B90" s="24" t="s">
        <v>287</v>
      </c>
      <c r="C90" s="24">
        <v>1088</v>
      </c>
      <c r="D90" s="24" t="s">
        <v>164</v>
      </c>
      <c r="E90" s="24" t="s">
        <v>169</v>
      </c>
      <c r="F90" s="24" t="s">
        <v>174</v>
      </c>
      <c r="G90" s="27">
        <v>63434</v>
      </c>
      <c r="H90" s="23">
        <v>42624</v>
      </c>
      <c r="I90" s="24">
        <v>3</v>
      </c>
      <c r="J90" s="24"/>
      <c r="K90" s="24" t="s">
        <v>251</v>
      </c>
      <c r="L90" s="28">
        <v>63434</v>
      </c>
      <c r="M90" s="23">
        <v>42624</v>
      </c>
      <c r="N90" s="24">
        <v>3</v>
      </c>
      <c r="O90" s="24">
        <v>3</v>
      </c>
      <c r="P90" s="24" t="s">
        <v>180</v>
      </c>
      <c r="Q90" s="29">
        <v>45990</v>
      </c>
      <c r="R90" s="30">
        <v>45990.548522916666</v>
      </c>
      <c r="S90" s="26">
        <v>2016</v>
      </c>
      <c r="T90" s="26" t="s">
        <v>304</v>
      </c>
      <c r="U90" s="26">
        <f>COUNTIF(Table1_2[Country],Table1_2[Country])</f>
        <v>59</v>
      </c>
    </row>
    <row r="91" spans="1:21" x14ac:dyDescent="0.35">
      <c r="A91" s="24" t="s">
        <v>98</v>
      </c>
      <c r="B91" s="24" t="s">
        <v>287</v>
      </c>
      <c r="C91" s="24">
        <v>1089</v>
      </c>
      <c r="D91" s="24" t="s">
        <v>162</v>
      </c>
      <c r="E91" s="24" t="s">
        <v>170</v>
      </c>
      <c r="F91" s="24" t="s">
        <v>176</v>
      </c>
      <c r="G91" s="27">
        <v>38830</v>
      </c>
      <c r="H91" s="23">
        <v>42631</v>
      </c>
      <c r="I91" s="24">
        <v>3</v>
      </c>
      <c r="J91" s="24" t="s">
        <v>179</v>
      </c>
      <c r="K91" s="24" t="s">
        <v>203</v>
      </c>
      <c r="L91" s="28">
        <v>38830</v>
      </c>
      <c r="M91" s="23">
        <v>42631</v>
      </c>
      <c r="N91" s="24">
        <v>3</v>
      </c>
      <c r="O91" s="24">
        <v>3</v>
      </c>
      <c r="P91" s="24" t="s">
        <v>179</v>
      </c>
      <c r="Q91" s="29">
        <v>45990</v>
      </c>
      <c r="R91" s="30">
        <v>45990.548522916666</v>
      </c>
      <c r="S91" s="26">
        <v>2016</v>
      </c>
      <c r="T91" s="26" t="s">
        <v>304</v>
      </c>
      <c r="U91" s="26">
        <f>COUNTIF(Table1_2[Country],Table1_2[Country])</f>
        <v>19</v>
      </c>
    </row>
    <row r="92" spans="1:21" x14ac:dyDescent="0.35">
      <c r="A92" s="24" t="s">
        <v>99</v>
      </c>
      <c r="B92" s="24" t="s">
        <v>287</v>
      </c>
      <c r="C92" s="24">
        <v>1090</v>
      </c>
      <c r="D92" s="24" t="s">
        <v>178</v>
      </c>
      <c r="E92" s="24" t="s">
        <v>170</v>
      </c>
      <c r="F92" s="24" t="s">
        <v>175</v>
      </c>
      <c r="G92" s="27">
        <v>50741</v>
      </c>
      <c r="H92" s="23">
        <v>42638</v>
      </c>
      <c r="I92" s="24">
        <v>3</v>
      </c>
      <c r="J92" s="24" t="s">
        <v>178</v>
      </c>
      <c r="K92" s="24" t="s">
        <v>240</v>
      </c>
      <c r="L92" s="28">
        <v>50741</v>
      </c>
      <c r="M92" s="23">
        <v>42638</v>
      </c>
      <c r="N92" s="24">
        <v>3</v>
      </c>
      <c r="O92" s="24">
        <v>3</v>
      </c>
      <c r="P92" s="24" t="s">
        <v>178</v>
      </c>
      <c r="Q92" s="29">
        <v>45990</v>
      </c>
      <c r="R92" s="30">
        <v>45990.548522916666</v>
      </c>
      <c r="S92" s="26">
        <v>2016</v>
      </c>
      <c r="T92" s="26" t="s">
        <v>304</v>
      </c>
      <c r="U92" s="26">
        <f>COUNTIF(Table1_2[Country],Table1_2[Country])</f>
        <v>25</v>
      </c>
    </row>
    <row r="93" spans="1:21" x14ac:dyDescent="0.35">
      <c r="A93" s="24" t="s">
        <v>100</v>
      </c>
      <c r="B93" s="24" t="s">
        <v>287</v>
      </c>
      <c r="C93" s="24">
        <v>1091</v>
      </c>
      <c r="D93" s="24" t="s">
        <v>160</v>
      </c>
      <c r="E93" s="24" t="s">
        <v>167</v>
      </c>
      <c r="F93" s="24" t="s">
        <v>176</v>
      </c>
      <c r="G93" s="27">
        <v>69420</v>
      </c>
      <c r="H93" s="23">
        <v>42645</v>
      </c>
      <c r="I93" s="24">
        <v>1</v>
      </c>
      <c r="J93" s="24" t="s">
        <v>180</v>
      </c>
      <c r="K93" s="24" t="s">
        <v>225</v>
      </c>
      <c r="L93" s="28">
        <v>69420</v>
      </c>
      <c r="M93" s="23">
        <v>42645</v>
      </c>
      <c r="N93" s="24">
        <v>1</v>
      </c>
      <c r="O93" s="24">
        <v>1</v>
      </c>
      <c r="P93" s="24" t="s">
        <v>180</v>
      </c>
      <c r="Q93" s="29">
        <v>45990</v>
      </c>
      <c r="R93" s="30">
        <v>45990.548522916666</v>
      </c>
      <c r="S93" s="26">
        <v>2016</v>
      </c>
      <c r="T93" s="26" t="s">
        <v>305</v>
      </c>
      <c r="U93" s="26">
        <f>COUNTIF(Table1_2[Country],Table1_2[Country])</f>
        <v>19</v>
      </c>
    </row>
    <row r="94" spans="1:21" x14ac:dyDescent="0.35">
      <c r="A94" s="24" t="s">
        <v>101</v>
      </c>
      <c r="B94" s="24" t="s">
        <v>287</v>
      </c>
      <c r="C94" s="24">
        <v>1092</v>
      </c>
      <c r="D94" s="24" t="s">
        <v>162</v>
      </c>
      <c r="E94" s="24" t="s">
        <v>169</v>
      </c>
      <c r="F94" s="24" t="s">
        <v>174</v>
      </c>
      <c r="G94" s="27">
        <v>80588</v>
      </c>
      <c r="H94" s="23">
        <v>42652</v>
      </c>
      <c r="I94" s="24">
        <v>5</v>
      </c>
      <c r="J94" s="24" t="s">
        <v>180</v>
      </c>
      <c r="K94" s="24" t="s">
        <v>216</v>
      </c>
      <c r="L94" s="28">
        <v>80588</v>
      </c>
      <c r="M94" s="23">
        <v>42652</v>
      </c>
      <c r="N94" s="24">
        <v>5</v>
      </c>
      <c r="O94" s="24">
        <v>5</v>
      </c>
      <c r="P94" s="24" t="s">
        <v>180</v>
      </c>
      <c r="Q94" s="29">
        <v>45990</v>
      </c>
      <c r="R94" s="30">
        <v>45990.548522916666</v>
      </c>
      <c r="S94" s="26">
        <v>2016</v>
      </c>
      <c r="T94" s="26" t="s">
        <v>305</v>
      </c>
      <c r="U94" s="26">
        <f>COUNTIF(Table1_2[Country],Table1_2[Country])</f>
        <v>59</v>
      </c>
    </row>
    <row r="95" spans="1:21" x14ac:dyDescent="0.35">
      <c r="A95" s="24" t="s">
        <v>102</v>
      </c>
      <c r="B95" s="24" t="s">
        <v>287</v>
      </c>
      <c r="C95" s="24">
        <v>1093</v>
      </c>
      <c r="D95" s="24" t="s">
        <v>160</v>
      </c>
      <c r="E95" s="24" t="s">
        <v>170</v>
      </c>
      <c r="F95" s="24" t="s">
        <v>173</v>
      </c>
      <c r="G95" s="27">
        <v>76238</v>
      </c>
      <c r="H95" s="23">
        <v>42659</v>
      </c>
      <c r="I95" s="24">
        <v>4</v>
      </c>
      <c r="J95" s="24" t="s">
        <v>180</v>
      </c>
      <c r="K95" s="24" t="s">
        <v>252</v>
      </c>
      <c r="L95" s="28">
        <v>76238</v>
      </c>
      <c r="M95" s="23">
        <v>42659</v>
      </c>
      <c r="N95" s="24">
        <v>4</v>
      </c>
      <c r="O95" s="24">
        <v>4</v>
      </c>
      <c r="P95" s="24" t="s">
        <v>180</v>
      </c>
      <c r="Q95" s="29">
        <v>45990</v>
      </c>
      <c r="R95" s="30">
        <v>45990.548522916666</v>
      </c>
      <c r="S95" s="26">
        <v>2016</v>
      </c>
      <c r="T95" s="26" t="s">
        <v>305</v>
      </c>
      <c r="U95" s="26">
        <f>COUNTIF(Table1_2[Country],Table1_2[Country])</f>
        <v>24</v>
      </c>
    </row>
    <row r="96" spans="1:21" x14ac:dyDescent="0.35">
      <c r="A96" s="24" t="s">
        <v>103</v>
      </c>
      <c r="B96" s="24" t="s">
        <v>287</v>
      </c>
      <c r="C96" s="24">
        <v>1094</v>
      </c>
      <c r="D96" s="24" t="s">
        <v>165</v>
      </c>
      <c r="E96" s="24" t="s">
        <v>169</v>
      </c>
      <c r="F96" s="24" t="s">
        <v>174</v>
      </c>
      <c r="G96" s="27">
        <v>33264</v>
      </c>
      <c r="H96" s="23">
        <v>42666</v>
      </c>
      <c r="I96" s="24"/>
      <c r="J96" s="24" t="s">
        <v>181</v>
      </c>
      <c r="K96" s="24" t="s">
        <v>253</v>
      </c>
      <c r="L96" s="28">
        <v>33264</v>
      </c>
      <c r="M96" s="23">
        <v>42666</v>
      </c>
      <c r="N96" s="24">
        <v>2.9444444444444446</v>
      </c>
      <c r="O96" s="24">
        <v>3</v>
      </c>
      <c r="P96" s="24" t="s">
        <v>181</v>
      </c>
      <c r="Q96" s="29">
        <v>45990</v>
      </c>
      <c r="R96" s="30">
        <v>45990.548522916666</v>
      </c>
      <c r="S96" s="26">
        <v>2016</v>
      </c>
      <c r="T96" s="26" t="s">
        <v>305</v>
      </c>
      <c r="U96" s="26">
        <f>COUNTIF(Table1_2[Country],Table1_2[Country])</f>
        <v>59</v>
      </c>
    </row>
    <row r="97" spans="1:21" x14ac:dyDescent="0.35">
      <c r="A97" s="24" t="s">
        <v>104</v>
      </c>
      <c r="B97" s="24" t="s">
        <v>287</v>
      </c>
      <c r="C97" s="24">
        <v>1095</v>
      </c>
      <c r="D97" s="24" t="s">
        <v>160</v>
      </c>
      <c r="E97" s="24" t="s">
        <v>166</v>
      </c>
      <c r="F97" s="24" t="s">
        <v>176</v>
      </c>
      <c r="G97" s="27">
        <v>96101</v>
      </c>
      <c r="H97" s="23">
        <v>42673</v>
      </c>
      <c r="I97" s="24"/>
      <c r="J97" s="24" t="s">
        <v>179</v>
      </c>
      <c r="K97" s="24" t="s">
        <v>254</v>
      </c>
      <c r="L97" s="28">
        <v>96101</v>
      </c>
      <c r="M97" s="23">
        <v>42673</v>
      </c>
      <c r="N97" s="24">
        <v>2.5789473684210527</v>
      </c>
      <c r="O97" s="24">
        <v>3</v>
      </c>
      <c r="P97" s="24" t="s">
        <v>179</v>
      </c>
      <c r="Q97" s="29">
        <v>45990</v>
      </c>
      <c r="R97" s="30">
        <v>45990.548522916666</v>
      </c>
      <c r="S97" s="26">
        <v>2016</v>
      </c>
      <c r="T97" s="26" t="s">
        <v>305</v>
      </c>
      <c r="U97" s="26">
        <f>COUNTIF(Table1_2[Country],Table1_2[Country])</f>
        <v>19</v>
      </c>
    </row>
    <row r="98" spans="1:21" x14ac:dyDescent="0.35">
      <c r="A98" s="24" t="s">
        <v>105</v>
      </c>
      <c r="B98" s="24" t="s">
        <v>287</v>
      </c>
      <c r="C98" s="24">
        <v>1096</v>
      </c>
      <c r="D98" s="24" t="s">
        <v>162</v>
      </c>
      <c r="E98" s="24" t="s">
        <v>166</v>
      </c>
      <c r="F98" s="24" t="s">
        <v>173</v>
      </c>
      <c r="G98" s="27">
        <v>72939</v>
      </c>
      <c r="H98" s="23">
        <v>42680</v>
      </c>
      <c r="I98" s="24">
        <v>3</v>
      </c>
      <c r="J98" s="24"/>
      <c r="K98" s="24" t="s">
        <v>255</v>
      </c>
      <c r="L98" s="28">
        <v>72939</v>
      </c>
      <c r="M98" s="23">
        <v>42680</v>
      </c>
      <c r="N98" s="24">
        <v>3</v>
      </c>
      <c r="O98" s="24">
        <v>3</v>
      </c>
      <c r="P98" s="24" t="s">
        <v>180</v>
      </c>
      <c r="Q98" s="29">
        <v>45990</v>
      </c>
      <c r="R98" s="30">
        <v>45990.548522916666</v>
      </c>
      <c r="S98" s="26">
        <v>2016</v>
      </c>
      <c r="T98" s="26" t="s">
        <v>306</v>
      </c>
      <c r="U98" s="26">
        <f>COUNTIF(Table1_2[Country],Table1_2[Country])</f>
        <v>24</v>
      </c>
    </row>
    <row r="99" spans="1:21" x14ac:dyDescent="0.35">
      <c r="A99" s="24" t="s">
        <v>106</v>
      </c>
      <c r="B99" s="24" t="s">
        <v>287</v>
      </c>
      <c r="C99" s="24">
        <v>1097</v>
      </c>
      <c r="D99" s="24" t="s">
        <v>163</v>
      </c>
      <c r="E99" s="24" t="s">
        <v>167</v>
      </c>
      <c r="F99" s="24" t="s">
        <v>172</v>
      </c>
      <c r="G99" s="27">
        <v>89333</v>
      </c>
      <c r="H99" s="23">
        <v>42687</v>
      </c>
      <c r="I99" s="24">
        <v>1</v>
      </c>
      <c r="J99" s="24" t="s">
        <v>180</v>
      </c>
      <c r="K99" s="24" t="s">
        <v>256</v>
      </c>
      <c r="L99" s="28">
        <v>89333</v>
      </c>
      <c r="M99" s="23">
        <v>42687</v>
      </c>
      <c r="N99" s="24">
        <v>1</v>
      </c>
      <c r="O99" s="24">
        <v>1</v>
      </c>
      <c r="P99" s="24" t="s">
        <v>180</v>
      </c>
      <c r="Q99" s="29">
        <v>45990</v>
      </c>
      <c r="R99" s="30">
        <v>45990.548522916666</v>
      </c>
      <c r="S99" s="26">
        <v>2016</v>
      </c>
      <c r="T99" s="26" t="s">
        <v>306</v>
      </c>
      <c r="U99" s="26">
        <f>COUNTIF(Table1_2[Country],Table1_2[Country])</f>
        <v>23</v>
      </c>
    </row>
    <row r="100" spans="1:21" x14ac:dyDescent="0.35">
      <c r="A100" s="24" t="s">
        <v>107</v>
      </c>
      <c r="B100" s="24" t="s">
        <v>287</v>
      </c>
      <c r="C100" s="24">
        <v>1098</v>
      </c>
      <c r="D100" s="24" t="s">
        <v>165</v>
      </c>
      <c r="E100" s="24" t="s">
        <v>169</v>
      </c>
      <c r="F100" s="24" t="s">
        <v>176</v>
      </c>
      <c r="G100" s="27">
        <v>70470</v>
      </c>
      <c r="H100" s="23">
        <v>42694</v>
      </c>
      <c r="I100" s="24"/>
      <c r="J100" s="24" t="s">
        <v>180</v>
      </c>
      <c r="K100" s="24" t="s">
        <v>257</v>
      </c>
      <c r="L100" s="28">
        <v>70470</v>
      </c>
      <c r="M100" s="23">
        <v>42694</v>
      </c>
      <c r="N100" s="24">
        <v>2.9444444444444446</v>
      </c>
      <c r="O100" s="24">
        <v>3</v>
      </c>
      <c r="P100" s="24" t="s">
        <v>180</v>
      </c>
      <c r="Q100" s="29">
        <v>45990</v>
      </c>
      <c r="R100" s="30">
        <v>45990.548522916666</v>
      </c>
      <c r="S100" s="26">
        <v>2016</v>
      </c>
      <c r="T100" s="26" t="s">
        <v>306</v>
      </c>
      <c r="U100" s="26">
        <f>COUNTIF(Table1_2[Country],Table1_2[Country])</f>
        <v>19</v>
      </c>
    </row>
    <row r="101" spans="1:21" x14ac:dyDescent="0.35">
      <c r="A101" s="24" t="s">
        <v>108</v>
      </c>
      <c r="B101" s="24" t="s">
        <v>287</v>
      </c>
      <c r="C101" s="24">
        <v>1099</v>
      </c>
      <c r="D101" s="24" t="s">
        <v>159</v>
      </c>
      <c r="E101" s="24" t="s">
        <v>170</v>
      </c>
      <c r="F101" s="24" t="s">
        <v>173</v>
      </c>
      <c r="G101" s="27">
        <v>70096</v>
      </c>
      <c r="H101" s="23">
        <v>42701</v>
      </c>
      <c r="I101" s="24">
        <v>4</v>
      </c>
      <c r="J101" s="24" t="s">
        <v>180</v>
      </c>
      <c r="K101" s="24" t="s">
        <v>258</v>
      </c>
      <c r="L101" s="28">
        <v>70096</v>
      </c>
      <c r="M101" s="23">
        <v>42701</v>
      </c>
      <c r="N101" s="24">
        <v>4</v>
      </c>
      <c r="O101" s="24">
        <v>4</v>
      </c>
      <c r="P101" s="24" t="s">
        <v>180</v>
      </c>
      <c r="Q101" s="29">
        <v>45990</v>
      </c>
      <c r="R101" s="30">
        <v>45990.548522916666</v>
      </c>
      <c r="S101" s="26">
        <v>2016</v>
      </c>
      <c r="T101" s="26" t="s">
        <v>306</v>
      </c>
      <c r="U101" s="26">
        <f>COUNTIF(Table1_2[Country],Table1_2[Country])</f>
        <v>24</v>
      </c>
    </row>
    <row r="102" spans="1:21" x14ac:dyDescent="0.35">
      <c r="A102" s="24" t="s">
        <v>109</v>
      </c>
      <c r="B102" s="24" t="s">
        <v>287</v>
      </c>
      <c r="C102" s="24">
        <v>1100</v>
      </c>
      <c r="D102" s="24" t="s">
        <v>165</v>
      </c>
      <c r="E102" s="24" t="s">
        <v>170</v>
      </c>
      <c r="F102" s="24" t="s">
        <v>174</v>
      </c>
      <c r="G102" s="27" t="s">
        <v>177</v>
      </c>
      <c r="H102" s="23">
        <v>42708</v>
      </c>
      <c r="I102" s="24">
        <v>2</v>
      </c>
      <c r="J102" s="24" t="s">
        <v>179</v>
      </c>
      <c r="K102" s="24" t="s">
        <v>259</v>
      </c>
      <c r="L102" s="28">
        <v>65071.98</v>
      </c>
      <c r="M102" s="23">
        <v>42708</v>
      </c>
      <c r="N102" s="24">
        <v>2</v>
      </c>
      <c r="O102" s="24">
        <v>2</v>
      </c>
      <c r="P102" s="24" t="s">
        <v>179</v>
      </c>
      <c r="Q102" s="29">
        <v>45990</v>
      </c>
      <c r="R102" s="30">
        <v>45990.548522916666</v>
      </c>
      <c r="S102" s="26">
        <v>2016</v>
      </c>
      <c r="T102" s="26" t="s">
        <v>307</v>
      </c>
      <c r="U102" s="26">
        <f>COUNTIF(Table1_2[Country],Table1_2[Country])</f>
        <v>59</v>
      </c>
    </row>
    <row r="103" spans="1:21" x14ac:dyDescent="0.35">
      <c r="A103" s="24" t="s">
        <v>110</v>
      </c>
      <c r="B103" s="24" t="s">
        <v>287</v>
      </c>
      <c r="C103" s="24">
        <v>1101</v>
      </c>
      <c r="D103" s="24" t="s">
        <v>165</v>
      </c>
      <c r="E103" s="24" t="s">
        <v>169</v>
      </c>
      <c r="F103" s="24" t="s">
        <v>172</v>
      </c>
      <c r="G103" s="27">
        <v>66503</v>
      </c>
      <c r="H103" s="23">
        <v>42715</v>
      </c>
      <c r="I103" s="24"/>
      <c r="J103" s="24" t="s">
        <v>180</v>
      </c>
      <c r="K103" s="24" t="s">
        <v>200</v>
      </c>
      <c r="L103" s="28">
        <v>66503</v>
      </c>
      <c r="M103" s="23">
        <v>42715</v>
      </c>
      <c r="N103" s="24">
        <v>2.9444444444444446</v>
      </c>
      <c r="O103" s="24">
        <v>3</v>
      </c>
      <c r="P103" s="24" t="s">
        <v>180</v>
      </c>
      <c r="Q103" s="29">
        <v>45990</v>
      </c>
      <c r="R103" s="30">
        <v>45990.548522916666</v>
      </c>
      <c r="S103" s="26">
        <v>2016</v>
      </c>
      <c r="T103" s="26" t="s">
        <v>307</v>
      </c>
      <c r="U103" s="26">
        <f>COUNTIF(Table1_2[Country],Table1_2[Country])</f>
        <v>23</v>
      </c>
    </row>
    <row r="104" spans="1:21" x14ac:dyDescent="0.35">
      <c r="A104" s="24" t="s">
        <v>111</v>
      </c>
      <c r="B104" s="24" t="s">
        <v>287</v>
      </c>
      <c r="C104" s="24">
        <v>1102</v>
      </c>
      <c r="D104" s="24" t="s">
        <v>160</v>
      </c>
      <c r="E104" s="24" t="s">
        <v>167</v>
      </c>
      <c r="F104" s="24" t="s">
        <v>172</v>
      </c>
      <c r="G104" s="27">
        <v>42096</v>
      </c>
      <c r="H104" s="23">
        <v>42722</v>
      </c>
      <c r="I104" s="24"/>
      <c r="J104" s="24" t="s">
        <v>181</v>
      </c>
      <c r="K104" s="24" t="s">
        <v>260</v>
      </c>
      <c r="L104" s="28">
        <v>42096</v>
      </c>
      <c r="M104" s="23">
        <v>42722</v>
      </c>
      <c r="N104" s="24">
        <v>2.7</v>
      </c>
      <c r="O104" s="24">
        <v>3</v>
      </c>
      <c r="P104" s="24" t="s">
        <v>181</v>
      </c>
      <c r="Q104" s="29">
        <v>45990</v>
      </c>
      <c r="R104" s="30">
        <v>45990.548522916666</v>
      </c>
      <c r="S104" s="26">
        <v>2016</v>
      </c>
      <c r="T104" s="26" t="s">
        <v>307</v>
      </c>
      <c r="U104" s="26">
        <f>COUNTIF(Table1_2[Country],Table1_2[Country])</f>
        <v>23</v>
      </c>
    </row>
    <row r="105" spans="1:21" x14ac:dyDescent="0.35">
      <c r="A105" s="24" t="s">
        <v>112</v>
      </c>
      <c r="B105" s="24" t="s">
        <v>287</v>
      </c>
      <c r="C105" s="24">
        <v>1103</v>
      </c>
      <c r="D105" s="24" t="s">
        <v>160</v>
      </c>
      <c r="E105" s="24" t="s">
        <v>170</v>
      </c>
      <c r="F105" s="24" t="s">
        <v>174</v>
      </c>
      <c r="G105" s="27">
        <v>79145</v>
      </c>
      <c r="H105" s="23">
        <v>42729</v>
      </c>
      <c r="I105" s="24">
        <v>5</v>
      </c>
      <c r="J105" s="24" t="s">
        <v>179</v>
      </c>
      <c r="K105" s="24" t="s">
        <v>223</v>
      </c>
      <c r="L105" s="28">
        <v>79145</v>
      </c>
      <c r="M105" s="23">
        <v>42729</v>
      </c>
      <c r="N105" s="24">
        <v>5</v>
      </c>
      <c r="O105" s="24">
        <v>5</v>
      </c>
      <c r="P105" s="24" t="s">
        <v>179</v>
      </c>
      <c r="Q105" s="29">
        <v>45990</v>
      </c>
      <c r="R105" s="30">
        <v>45990.548522916666</v>
      </c>
      <c r="S105" s="26">
        <v>2016</v>
      </c>
      <c r="T105" s="26" t="s">
        <v>307</v>
      </c>
      <c r="U105" s="26">
        <f>COUNTIF(Table1_2[Country],Table1_2[Country])</f>
        <v>59</v>
      </c>
    </row>
    <row r="106" spans="1:21" x14ac:dyDescent="0.35">
      <c r="A106" s="24" t="s">
        <v>113</v>
      </c>
      <c r="B106" s="24" t="s">
        <v>287</v>
      </c>
      <c r="C106" s="24">
        <v>1104</v>
      </c>
      <c r="D106" s="24" t="s">
        <v>162</v>
      </c>
      <c r="E106" s="24" t="s">
        <v>170</v>
      </c>
      <c r="F106" s="24" t="s">
        <v>176</v>
      </c>
      <c r="G106" s="27">
        <v>61556</v>
      </c>
      <c r="H106" s="23">
        <v>42736</v>
      </c>
      <c r="I106" s="24">
        <v>1</v>
      </c>
      <c r="J106" s="24"/>
      <c r="K106" s="24" t="s">
        <v>259</v>
      </c>
      <c r="L106" s="28">
        <v>61556</v>
      </c>
      <c r="M106" s="23">
        <v>42736</v>
      </c>
      <c r="N106" s="24">
        <v>1</v>
      </c>
      <c r="O106" s="24">
        <v>1</v>
      </c>
      <c r="P106" s="24" t="s">
        <v>180</v>
      </c>
      <c r="Q106" s="29">
        <v>45990</v>
      </c>
      <c r="R106" s="30">
        <v>45990.548522916666</v>
      </c>
      <c r="S106" s="26">
        <v>2017</v>
      </c>
      <c r="T106" s="26" t="s">
        <v>297</v>
      </c>
      <c r="U106" s="26">
        <f>COUNTIF(Table1_2[Country],Table1_2[Country])</f>
        <v>19</v>
      </c>
    </row>
    <row r="107" spans="1:21" x14ac:dyDescent="0.35">
      <c r="A107" s="24" t="s">
        <v>114</v>
      </c>
      <c r="B107" s="24" t="s">
        <v>287</v>
      </c>
      <c r="C107" s="24">
        <v>1105</v>
      </c>
      <c r="D107" s="24" t="s">
        <v>178</v>
      </c>
      <c r="E107" s="24" t="s">
        <v>167</v>
      </c>
      <c r="F107" s="24" t="s">
        <v>175</v>
      </c>
      <c r="G107" s="27">
        <v>87963</v>
      </c>
      <c r="H107" s="23">
        <v>42743</v>
      </c>
      <c r="I107" s="24">
        <v>3</v>
      </c>
      <c r="J107" s="24" t="s">
        <v>179</v>
      </c>
      <c r="K107" s="24" t="s">
        <v>182</v>
      </c>
      <c r="L107" s="28">
        <v>87963</v>
      </c>
      <c r="M107" s="23">
        <v>42743</v>
      </c>
      <c r="N107" s="24">
        <v>3</v>
      </c>
      <c r="O107" s="24">
        <v>3</v>
      </c>
      <c r="P107" s="24" t="s">
        <v>179</v>
      </c>
      <c r="Q107" s="29">
        <v>45990</v>
      </c>
      <c r="R107" s="30">
        <v>45990.548522916666</v>
      </c>
      <c r="S107" s="26">
        <v>2017</v>
      </c>
      <c r="T107" s="26" t="s">
        <v>297</v>
      </c>
      <c r="U107" s="26">
        <f>COUNTIF(Table1_2[Country],Table1_2[Country])</f>
        <v>25</v>
      </c>
    </row>
    <row r="108" spans="1:21" x14ac:dyDescent="0.35">
      <c r="A108" s="24" t="s">
        <v>115</v>
      </c>
      <c r="B108" s="24" t="s">
        <v>287</v>
      </c>
      <c r="C108" s="24">
        <v>1106</v>
      </c>
      <c r="D108" s="24" t="s">
        <v>159</v>
      </c>
      <c r="E108" s="24" t="s">
        <v>169</v>
      </c>
      <c r="F108" s="24" t="s">
        <v>174</v>
      </c>
      <c r="G108" s="27">
        <v>48325</v>
      </c>
      <c r="H108" s="23">
        <v>42750</v>
      </c>
      <c r="I108" s="24"/>
      <c r="J108" s="24" t="s">
        <v>180</v>
      </c>
      <c r="K108" s="24" t="s">
        <v>261</v>
      </c>
      <c r="L108" s="28">
        <v>48325</v>
      </c>
      <c r="M108" s="23">
        <v>42750</v>
      </c>
      <c r="N108" s="24">
        <v>2.9444444444444446</v>
      </c>
      <c r="O108" s="24">
        <v>3</v>
      </c>
      <c r="P108" s="24" t="s">
        <v>180</v>
      </c>
      <c r="Q108" s="29">
        <v>45990</v>
      </c>
      <c r="R108" s="30">
        <v>45990.548522916666</v>
      </c>
      <c r="S108" s="26">
        <v>2017</v>
      </c>
      <c r="T108" s="26" t="s">
        <v>297</v>
      </c>
      <c r="U108" s="26">
        <f>COUNTIF(Table1_2[Country],Table1_2[Country])</f>
        <v>59</v>
      </c>
    </row>
    <row r="109" spans="1:21" x14ac:dyDescent="0.35">
      <c r="A109" s="24" t="s">
        <v>116</v>
      </c>
      <c r="B109" s="24" t="s">
        <v>287</v>
      </c>
      <c r="C109" s="24">
        <v>1107</v>
      </c>
      <c r="D109" s="24" t="s">
        <v>163</v>
      </c>
      <c r="E109" s="24" t="s">
        <v>170</v>
      </c>
      <c r="F109" s="24" t="s">
        <v>176</v>
      </c>
      <c r="G109" s="27">
        <v>86412</v>
      </c>
      <c r="H109" s="23">
        <v>42757</v>
      </c>
      <c r="I109" s="24">
        <v>2</v>
      </c>
      <c r="J109" s="24" t="s">
        <v>181</v>
      </c>
      <c r="K109" s="24" t="s">
        <v>202</v>
      </c>
      <c r="L109" s="28">
        <v>86412</v>
      </c>
      <c r="M109" s="23">
        <v>42757</v>
      </c>
      <c r="N109" s="24">
        <v>2</v>
      </c>
      <c r="O109" s="24">
        <v>2</v>
      </c>
      <c r="P109" s="24" t="s">
        <v>181</v>
      </c>
      <c r="Q109" s="29">
        <v>45990</v>
      </c>
      <c r="R109" s="30">
        <v>45990.548522916666</v>
      </c>
      <c r="S109" s="26">
        <v>2017</v>
      </c>
      <c r="T109" s="26" t="s">
        <v>297</v>
      </c>
      <c r="U109" s="26">
        <f>COUNTIF(Table1_2[Country],Table1_2[Country])</f>
        <v>19</v>
      </c>
    </row>
    <row r="110" spans="1:21" x14ac:dyDescent="0.35">
      <c r="A110" s="24" t="s">
        <v>117</v>
      </c>
      <c r="B110" s="24" t="s">
        <v>287</v>
      </c>
      <c r="C110" s="24">
        <v>1108</v>
      </c>
      <c r="D110" s="24" t="s">
        <v>163</v>
      </c>
      <c r="E110" s="24" t="s">
        <v>167</v>
      </c>
      <c r="F110" s="24" t="s">
        <v>174</v>
      </c>
      <c r="G110" s="27">
        <v>66761</v>
      </c>
      <c r="H110" s="23">
        <v>42764</v>
      </c>
      <c r="I110" s="24">
        <v>1</v>
      </c>
      <c r="J110" s="24"/>
      <c r="K110" s="24" t="s">
        <v>262</v>
      </c>
      <c r="L110" s="28">
        <v>66761</v>
      </c>
      <c r="M110" s="23">
        <v>42764</v>
      </c>
      <c r="N110" s="24">
        <v>1</v>
      </c>
      <c r="O110" s="24">
        <v>1</v>
      </c>
      <c r="P110" s="24" t="s">
        <v>180</v>
      </c>
      <c r="Q110" s="29">
        <v>45990</v>
      </c>
      <c r="R110" s="30">
        <v>45990.548522916666</v>
      </c>
      <c r="S110" s="26">
        <v>2017</v>
      </c>
      <c r="T110" s="26" t="s">
        <v>297</v>
      </c>
      <c r="U110" s="26">
        <f>COUNTIF(Table1_2[Country],Table1_2[Country])</f>
        <v>59</v>
      </c>
    </row>
    <row r="111" spans="1:21" x14ac:dyDescent="0.35">
      <c r="A111" s="24" t="s">
        <v>118</v>
      </c>
      <c r="B111" s="24" t="s">
        <v>287</v>
      </c>
      <c r="C111" s="24">
        <v>1109</v>
      </c>
      <c r="D111" s="24" t="s">
        <v>162</v>
      </c>
      <c r="E111" s="24" t="s">
        <v>170</v>
      </c>
      <c r="F111" s="24" t="s">
        <v>174</v>
      </c>
      <c r="G111" s="27">
        <v>88850</v>
      </c>
      <c r="H111" s="23">
        <v>42771</v>
      </c>
      <c r="I111" s="24">
        <v>1</v>
      </c>
      <c r="J111" s="24" t="s">
        <v>181</v>
      </c>
      <c r="K111" s="24" t="s">
        <v>263</v>
      </c>
      <c r="L111" s="28">
        <v>88850</v>
      </c>
      <c r="M111" s="23">
        <v>42771</v>
      </c>
      <c r="N111" s="24">
        <v>1</v>
      </c>
      <c r="O111" s="24">
        <v>1</v>
      </c>
      <c r="P111" s="24" t="s">
        <v>181</v>
      </c>
      <c r="Q111" s="29">
        <v>45990</v>
      </c>
      <c r="R111" s="30">
        <v>45990.548522916666</v>
      </c>
      <c r="S111" s="26">
        <v>2017</v>
      </c>
      <c r="T111" s="26" t="s">
        <v>298</v>
      </c>
      <c r="U111" s="26">
        <f>COUNTIF(Table1_2[Country],Table1_2[Country])</f>
        <v>59</v>
      </c>
    </row>
    <row r="112" spans="1:21" x14ac:dyDescent="0.35">
      <c r="A112" s="24" t="s">
        <v>119</v>
      </c>
      <c r="B112" s="24" t="s">
        <v>287</v>
      </c>
      <c r="C112" s="24">
        <v>1110</v>
      </c>
      <c r="D112" s="24" t="s">
        <v>164</v>
      </c>
      <c r="E112" s="24" t="s">
        <v>168</v>
      </c>
      <c r="F112" s="24" t="s">
        <v>174</v>
      </c>
      <c r="G112" s="27">
        <v>31293</v>
      </c>
      <c r="H112" s="23"/>
      <c r="I112" s="24">
        <v>2</v>
      </c>
      <c r="J112" s="24" t="s">
        <v>181</v>
      </c>
      <c r="K112" s="24" t="s">
        <v>264</v>
      </c>
      <c r="L112" s="28">
        <v>31293</v>
      </c>
      <c r="M112" s="23">
        <v>42563.041666666664</v>
      </c>
      <c r="N112" s="24">
        <v>2</v>
      </c>
      <c r="O112" s="24">
        <v>2</v>
      </c>
      <c r="P112" s="24" t="s">
        <v>181</v>
      </c>
      <c r="Q112" s="29">
        <v>45990</v>
      </c>
      <c r="R112" s="30">
        <v>45990.548522916666</v>
      </c>
      <c r="S112" s="26">
        <v>2016</v>
      </c>
      <c r="T112" s="26" t="s">
        <v>302</v>
      </c>
      <c r="U112" s="26">
        <f>COUNTIF(Table1_2[Country],Table1_2[Country])</f>
        <v>59</v>
      </c>
    </row>
    <row r="113" spans="1:21" x14ac:dyDescent="0.35">
      <c r="A113" s="24" t="s">
        <v>120</v>
      </c>
      <c r="B113" s="24" t="s">
        <v>287</v>
      </c>
      <c r="C113" s="24">
        <v>1111</v>
      </c>
      <c r="D113" s="24" t="s">
        <v>164</v>
      </c>
      <c r="E113" s="24" t="s">
        <v>169</v>
      </c>
      <c r="F113" s="24" t="s">
        <v>173</v>
      </c>
      <c r="G113" s="27">
        <v>34306</v>
      </c>
      <c r="H113" s="23">
        <v>42785</v>
      </c>
      <c r="I113" s="24">
        <v>5</v>
      </c>
      <c r="J113" s="24" t="s">
        <v>181</v>
      </c>
      <c r="K113" s="24" t="s">
        <v>239</v>
      </c>
      <c r="L113" s="28">
        <v>34306</v>
      </c>
      <c r="M113" s="23">
        <v>42785</v>
      </c>
      <c r="N113" s="24">
        <v>5</v>
      </c>
      <c r="O113" s="24">
        <v>5</v>
      </c>
      <c r="P113" s="24" t="s">
        <v>181</v>
      </c>
      <c r="Q113" s="29">
        <v>45990</v>
      </c>
      <c r="R113" s="30">
        <v>45990.548522916666</v>
      </c>
      <c r="S113" s="26">
        <v>2017</v>
      </c>
      <c r="T113" s="26" t="s">
        <v>298</v>
      </c>
      <c r="U113" s="26">
        <f>COUNTIF(Table1_2[Country],Table1_2[Country])</f>
        <v>24</v>
      </c>
    </row>
    <row r="114" spans="1:21" x14ac:dyDescent="0.35">
      <c r="A114" s="24" t="s">
        <v>121</v>
      </c>
      <c r="B114" s="24" t="s">
        <v>287</v>
      </c>
      <c r="C114" s="24">
        <v>1112</v>
      </c>
      <c r="D114" s="24" t="s">
        <v>159</v>
      </c>
      <c r="E114" s="24" t="s">
        <v>166</v>
      </c>
      <c r="F114" s="24" t="s">
        <v>174</v>
      </c>
      <c r="G114" s="27">
        <v>78330</v>
      </c>
      <c r="H114" s="23">
        <v>42792</v>
      </c>
      <c r="I114" s="24"/>
      <c r="J114" s="24" t="s">
        <v>179</v>
      </c>
      <c r="K114" s="24" t="s">
        <v>258</v>
      </c>
      <c r="L114" s="28">
        <v>78330</v>
      </c>
      <c r="M114" s="23">
        <v>42792</v>
      </c>
      <c r="N114" s="24">
        <v>2.5789473684210527</v>
      </c>
      <c r="O114" s="24">
        <v>3</v>
      </c>
      <c r="P114" s="24" t="s">
        <v>179</v>
      </c>
      <c r="Q114" s="29">
        <v>45990</v>
      </c>
      <c r="R114" s="30">
        <v>45990.548522916666</v>
      </c>
      <c r="S114" s="26">
        <v>2017</v>
      </c>
      <c r="T114" s="26" t="s">
        <v>298</v>
      </c>
      <c r="U114" s="26">
        <f>COUNTIF(Table1_2[Country],Table1_2[Country])</f>
        <v>59</v>
      </c>
    </row>
    <row r="115" spans="1:21" x14ac:dyDescent="0.35">
      <c r="A115" s="24" t="s">
        <v>122</v>
      </c>
      <c r="B115" s="24" t="s">
        <v>287</v>
      </c>
      <c r="C115" s="24">
        <v>1113</v>
      </c>
      <c r="D115" s="24" t="s">
        <v>160</v>
      </c>
      <c r="E115" s="24" t="s">
        <v>169</v>
      </c>
      <c r="F115" s="24" t="s">
        <v>173</v>
      </c>
      <c r="G115" s="27">
        <v>47653</v>
      </c>
      <c r="H115" s="23">
        <v>42799</v>
      </c>
      <c r="I115" s="24">
        <v>1</v>
      </c>
      <c r="J115" s="24" t="s">
        <v>180</v>
      </c>
      <c r="K115" s="24" t="s">
        <v>265</v>
      </c>
      <c r="L115" s="28">
        <v>47653</v>
      </c>
      <c r="M115" s="23">
        <v>42799</v>
      </c>
      <c r="N115" s="24">
        <v>1</v>
      </c>
      <c r="O115" s="24">
        <v>1</v>
      </c>
      <c r="P115" s="24" t="s">
        <v>180</v>
      </c>
      <c r="Q115" s="29">
        <v>45990</v>
      </c>
      <c r="R115" s="30">
        <v>45990.548522916666</v>
      </c>
      <c r="S115" s="26">
        <v>2017</v>
      </c>
      <c r="T115" s="26" t="s">
        <v>296</v>
      </c>
      <c r="U115" s="26">
        <f>COUNTIF(Table1_2[Country],Table1_2[Country])</f>
        <v>24</v>
      </c>
    </row>
    <row r="116" spans="1:21" x14ac:dyDescent="0.35">
      <c r="A116" s="24" t="s">
        <v>123</v>
      </c>
      <c r="B116" s="24" t="s">
        <v>287</v>
      </c>
      <c r="C116" s="24">
        <v>1114</v>
      </c>
      <c r="D116" s="24" t="s">
        <v>159</v>
      </c>
      <c r="E116" s="24" t="s">
        <v>170</v>
      </c>
      <c r="F116" s="24" t="s">
        <v>175</v>
      </c>
      <c r="G116" s="27">
        <v>44627</v>
      </c>
      <c r="H116" s="23">
        <v>42806</v>
      </c>
      <c r="I116" s="24">
        <v>4</v>
      </c>
      <c r="J116" s="24"/>
      <c r="K116" s="24" t="s">
        <v>235</v>
      </c>
      <c r="L116" s="28">
        <v>44627</v>
      </c>
      <c r="M116" s="23">
        <v>42806</v>
      </c>
      <c r="N116" s="24">
        <v>4</v>
      </c>
      <c r="O116" s="24">
        <v>4</v>
      </c>
      <c r="P116" s="24" t="s">
        <v>180</v>
      </c>
      <c r="Q116" s="29">
        <v>45990</v>
      </c>
      <c r="R116" s="30">
        <v>45990.548522916666</v>
      </c>
      <c r="S116" s="26">
        <v>2017</v>
      </c>
      <c r="T116" s="26" t="s">
        <v>296</v>
      </c>
      <c r="U116" s="26">
        <f>COUNTIF(Table1_2[Country],Table1_2[Country])</f>
        <v>25</v>
      </c>
    </row>
    <row r="117" spans="1:21" x14ac:dyDescent="0.35">
      <c r="A117" s="24" t="s">
        <v>124</v>
      </c>
      <c r="B117" s="24" t="s">
        <v>287</v>
      </c>
      <c r="C117" s="24">
        <v>1115</v>
      </c>
      <c r="D117" s="24" t="s">
        <v>165</v>
      </c>
      <c r="E117" s="24" t="s">
        <v>167</v>
      </c>
      <c r="F117" s="24" t="s">
        <v>172</v>
      </c>
      <c r="G117" s="27">
        <v>92343</v>
      </c>
      <c r="H117" s="23">
        <v>42813</v>
      </c>
      <c r="I117" s="24">
        <v>4</v>
      </c>
      <c r="J117" s="24" t="s">
        <v>181</v>
      </c>
      <c r="K117" s="24" t="s">
        <v>203</v>
      </c>
      <c r="L117" s="28">
        <v>92343</v>
      </c>
      <c r="M117" s="23">
        <v>42813</v>
      </c>
      <c r="N117" s="24">
        <v>4</v>
      </c>
      <c r="O117" s="24">
        <v>4</v>
      </c>
      <c r="P117" s="24" t="s">
        <v>181</v>
      </c>
      <c r="Q117" s="29">
        <v>45990</v>
      </c>
      <c r="R117" s="30">
        <v>45990.548522916666</v>
      </c>
      <c r="S117" s="26">
        <v>2017</v>
      </c>
      <c r="T117" s="26" t="s">
        <v>296</v>
      </c>
      <c r="U117" s="26">
        <f>COUNTIF(Table1_2[Country],Table1_2[Country])</f>
        <v>23</v>
      </c>
    </row>
    <row r="118" spans="1:21" x14ac:dyDescent="0.35">
      <c r="A118" s="24" t="s">
        <v>125</v>
      </c>
      <c r="B118" s="24" t="s">
        <v>287</v>
      </c>
      <c r="C118" s="24">
        <v>1116</v>
      </c>
      <c r="D118" s="24" t="s">
        <v>165</v>
      </c>
      <c r="E118" s="24" t="s">
        <v>170</v>
      </c>
      <c r="F118" s="24" t="s">
        <v>176</v>
      </c>
      <c r="G118" s="27">
        <v>38837</v>
      </c>
      <c r="H118" s="23">
        <v>42820</v>
      </c>
      <c r="I118" s="24">
        <v>5</v>
      </c>
      <c r="J118" s="24" t="s">
        <v>181</v>
      </c>
      <c r="K118" s="24" t="s">
        <v>239</v>
      </c>
      <c r="L118" s="28">
        <v>38837</v>
      </c>
      <c r="M118" s="23">
        <v>42820</v>
      </c>
      <c r="N118" s="24">
        <v>5</v>
      </c>
      <c r="O118" s="24">
        <v>5</v>
      </c>
      <c r="P118" s="24" t="s">
        <v>181</v>
      </c>
      <c r="Q118" s="29">
        <v>45990</v>
      </c>
      <c r="R118" s="30">
        <v>45990.548522916666</v>
      </c>
      <c r="S118" s="26">
        <v>2017</v>
      </c>
      <c r="T118" s="26" t="s">
        <v>296</v>
      </c>
      <c r="U118" s="26">
        <f>COUNTIF(Table1_2[Country],Table1_2[Country])</f>
        <v>19</v>
      </c>
    </row>
    <row r="119" spans="1:21" x14ac:dyDescent="0.35">
      <c r="A119" s="24" t="s">
        <v>126</v>
      </c>
      <c r="B119" s="24" t="s">
        <v>287</v>
      </c>
      <c r="C119" s="24">
        <v>1117</v>
      </c>
      <c r="D119" s="24" t="s">
        <v>165</v>
      </c>
      <c r="E119" s="24" t="s">
        <v>170</v>
      </c>
      <c r="F119" s="24" t="s">
        <v>174</v>
      </c>
      <c r="G119" s="27">
        <v>73483</v>
      </c>
      <c r="H119" s="23">
        <v>42827</v>
      </c>
      <c r="I119" s="24">
        <v>1</v>
      </c>
      <c r="J119" s="24"/>
      <c r="K119" s="24" t="s">
        <v>266</v>
      </c>
      <c r="L119" s="28">
        <v>73483</v>
      </c>
      <c r="M119" s="23">
        <v>42827</v>
      </c>
      <c r="N119" s="24">
        <v>1</v>
      </c>
      <c r="O119" s="24">
        <v>1</v>
      </c>
      <c r="P119" s="24" t="s">
        <v>180</v>
      </c>
      <c r="Q119" s="29">
        <v>45990</v>
      </c>
      <c r="R119" s="30">
        <v>45990.548522916666</v>
      </c>
      <c r="S119" s="26">
        <v>2017</v>
      </c>
      <c r="T119" s="26" t="s">
        <v>299</v>
      </c>
      <c r="U119" s="26">
        <f>COUNTIF(Table1_2[Country],Table1_2[Country])</f>
        <v>59</v>
      </c>
    </row>
    <row r="120" spans="1:21" x14ac:dyDescent="0.35">
      <c r="A120" s="24" t="s">
        <v>127</v>
      </c>
      <c r="B120" s="24" t="s">
        <v>287</v>
      </c>
      <c r="C120" s="24">
        <v>1118</v>
      </c>
      <c r="D120" s="24" t="s">
        <v>164</v>
      </c>
      <c r="E120" s="24" t="s">
        <v>168</v>
      </c>
      <c r="F120" s="24" t="s">
        <v>174</v>
      </c>
      <c r="G120" s="27">
        <v>95032</v>
      </c>
      <c r="H120" s="23">
        <v>42834</v>
      </c>
      <c r="I120" s="24">
        <v>3</v>
      </c>
      <c r="J120" s="24"/>
      <c r="K120" s="24" t="s">
        <v>267</v>
      </c>
      <c r="L120" s="28">
        <v>95032</v>
      </c>
      <c r="M120" s="23">
        <v>42834</v>
      </c>
      <c r="N120" s="24">
        <v>3</v>
      </c>
      <c r="O120" s="24">
        <v>3</v>
      </c>
      <c r="P120" s="24" t="s">
        <v>180</v>
      </c>
      <c r="Q120" s="29">
        <v>45990</v>
      </c>
      <c r="R120" s="30">
        <v>45990.548522916666</v>
      </c>
      <c r="S120" s="26">
        <v>2017</v>
      </c>
      <c r="T120" s="26" t="s">
        <v>299</v>
      </c>
      <c r="U120" s="26">
        <f>COUNTIF(Table1_2[Country],Table1_2[Country])</f>
        <v>59</v>
      </c>
    </row>
    <row r="121" spans="1:21" x14ac:dyDescent="0.35">
      <c r="A121" s="24" t="s">
        <v>128</v>
      </c>
      <c r="B121" s="24" t="s">
        <v>287</v>
      </c>
      <c r="C121" s="24">
        <v>1119</v>
      </c>
      <c r="D121" s="24" t="s">
        <v>159</v>
      </c>
      <c r="E121" s="24" t="s">
        <v>168</v>
      </c>
      <c r="F121" s="24" t="s">
        <v>176</v>
      </c>
      <c r="G121" s="27">
        <v>44358</v>
      </c>
      <c r="H121" s="23">
        <v>42841</v>
      </c>
      <c r="I121" s="24"/>
      <c r="J121" s="24" t="s">
        <v>181</v>
      </c>
      <c r="K121" s="24" t="s">
        <v>200</v>
      </c>
      <c r="L121" s="28">
        <v>44358</v>
      </c>
      <c r="M121" s="23">
        <v>42841</v>
      </c>
      <c r="N121" s="24">
        <v>2.7272727272727271</v>
      </c>
      <c r="O121" s="24">
        <v>3</v>
      </c>
      <c r="P121" s="24" t="s">
        <v>181</v>
      </c>
      <c r="Q121" s="29">
        <v>45990</v>
      </c>
      <c r="R121" s="30">
        <v>45990.548522916666</v>
      </c>
      <c r="S121" s="26">
        <v>2017</v>
      </c>
      <c r="T121" s="26" t="s">
        <v>299</v>
      </c>
      <c r="U121" s="26">
        <f>COUNTIF(Table1_2[Country],Table1_2[Country])</f>
        <v>19</v>
      </c>
    </row>
    <row r="122" spans="1:21" x14ac:dyDescent="0.35">
      <c r="A122" s="24" t="s">
        <v>129</v>
      </c>
      <c r="B122" s="24" t="s">
        <v>287</v>
      </c>
      <c r="C122" s="24">
        <v>1120</v>
      </c>
      <c r="D122" s="24" t="s">
        <v>178</v>
      </c>
      <c r="E122" s="24" t="s">
        <v>169</v>
      </c>
      <c r="F122" s="24" t="s">
        <v>173</v>
      </c>
      <c r="G122" s="27" t="s">
        <v>177</v>
      </c>
      <c r="H122" s="23"/>
      <c r="I122" s="24">
        <v>5</v>
      </c>
      <c r="J122" s="24" t="s">
        <v>178</v>
      </c>
      <c r="K122" s="24" t="s">
        <v>268</v>
      </c>
      <c r="L122" s="28">
        <v>66157.5</v>
      </c>
      <c r="M122" s="23">
        <v>42521.333333333336</v>
      </c>
      <c r="N122" s="24">
        <v>5</v>
      </c>
      <c r="O122" s="24">
        <v>5</v>
      </c>
      <c r="P122" s="24" t="s">
        <v>178</v>
      </c>
      <c r="Q122" s="29">
        <v>45990</v>
      </c>
      <c r="R122" s="30">
        <v>45990.548522916666</v>
      </c>
      <c r="S122" s="26">
        <v>2016</v>
      </c>
      <c r="T122" s="26" t="s">
        <v>300</v>
      </c>
      <c r="U122" s="26">
        <f>COUNTIF(Table1_2[Country],Table1_2[Country])</f>
        <v>24</v>
      </c>
    </row>
    <row r="123" spans="1:21" x14ac:dyDescent="0.35">
      <c r="A123" s="24" t="s">
        <v>130</v>
      </c>
      <c r="B123" s="24" t="s">
        <v>287</v>
      </c>
      <c r="C123" s="24">
        <v>1121</v>
      </c>
      <c r="D123" s="24" t="s">
        <v>164</v>
      </c>
      <c r="E123" s="24" t="s">
        <v>168</v>
      </c>
      <c r="F123" s="24" t="s">
        <v>173</v>
      </c>
      <c r="G123" s="27">
        <v>45676</v>
      </c>
      <c r="H123" s="23">
        <v>42855</v>
      </c>
      <c r="I123" s="24">
        <v>2</v>
      </c>
      <c r="J123" s="24"/>
      <c r="K123" s="24" t="s">
        <v>269</v>
      </c>
      <c r="L123" s="28">
        <v>45676</v>
      </c>
      <c r="M123" s="23">
        <v>42855</v>
      </c>
      <c r="N123" s="24">
        <v>2</v>
      </c>
      <c r="O123" s="24">
        <v>2</v>
      </c>
      <c r="P123" s="24" t="s">
        <v>180</v>
      </c>
      <c r="Q123" s="29">
        <v>45990</v>
      </c>
      <c r="R123" s="30">
        <v>45990.548522916666</v>
      </c>
      <c r="S123" s="26">
        <v>2017</v>
      </c>
      <c r="T123" s="26" t="s">
        <v>299</v>
      </c>
      <c r="U123" s="26">
        <f>COUNTIF(Table1_2[Country],Table1_2[Country])</f>
        <v>24</v>
      </c>
    </row>
    <row r="124" spans="1:21" x14ac:dyDescent="0.35">
      <c r="A124" s="24" t="s">
        <v>131</v>
      </c>
      <c r="B124" s="24" t="s">
        <v>287</v>
      </c>
      <c r="C124" s="24">
        <v>1122</v>
      </c>
      <c r="D124" s="24" t="s">
        <v>165</v>
      </c>
      <c r="E124" s="24" t="s">
        <v>168</v>
      </c>
      <c r="F124" s="24" t="s">
        <v>172</v>
      </c>
      <c r="G124" s="27">
        <v>52036</v>
      </c>
      <c r="H124" s="23">
        <v>42862</v>
      </c>
      <c r="I124" s="24">
        <v>3</v>
      </c>
      <c r="J124" s="24" t="s">
        <v>180</v>
      </c>
      <c r="K124" s="24" t="s">
        <v>270</v>
      </c>
      <c r="L124" s="28">
        <v>52036</v>
      </c>
      <c r="M124" s="23">
        <v>42862</v>
      </c>
      <c r="N124" s="24">
        <v>3</v>
      </c>
      <c r="O124" s="24">
        <v>3</v>
      </c>
      <c r="P124" s="24" t="s">
        <v>180</v>
      </c>
      <c r="Q124" s="29">
        <v>45990</v>
      </c>
      <c r="R124" s="30">
        <v>45990.548522916666</v>
      </c>
      <c r="S124" s="26">
        <v>2017</v>
      </c>
      <c r="T124" s="26" t="s">
        <v>300</v>
      </c>
      <c r="U124" s="26">
        <f>COUNTIF(Table1_2[Country],Table1_2[Country])</f>
        <v>23</v>
      </c>
    </row>
    <row r="125" spans="1:21" x14ac:dyDescent="0.35">
      <c r="A125" s="24" t="s">
        <v>132</v>
      </c>
      <c r="B125" s="24" t="s">
        <v>287</v>
      </c>
      <c r="C125" s="24">
        <v>1123</v>
      </c>
      <c r="D125" s="24" t="s">
        <v>162</v>
      </c>
      <c r="E125" s="24" t="s">
        <v>170</v>
      </c>
      <c r="F125" s="24" t="s">
        <v>172</v>
      </c>
      <c r="G125" s="27">
        <v>30357</v>
      </c>
      <c r="H125" s="23">
        <v>42869</v>
      </c>
      <c r="I125" s="24">
        <v>5</v>
      </c>
      <c r="J125" s="24" t="s">
        <v>180</v>
      </c>
      <c r="K125" s="24" t="s">
        <v>248</v>
      </c>
      <c r="L125" s="28">
        <v>30357</v>
      </c>
      <c r="M125" s="23">
        <v>42869</v>
      </c>
      <c r="N125" s="24">
        <v>5</v>
      </c>
      <c r="O125" s="24">
        <v>5</v>
      </c>
      <c r="P125" s="24" t="s">
        <v>180</v>
      </c>
      <c r="Q125" s="29">
        <v>45990</v>
      </c>
      <c r="R125" s="30">
        <v>45990.548522916666</v>
      </c>
      <c r="S125" s="26">
        <v>2017</v>
      </c>
      <c r="T125" s="26" t="s">
        <v>300</v>
      </c>
      <c r="U125" s="26">
        <f>COUNTIF(Table1_2[Country],Table1_2[Country])</f>
        <v>23</v>
      </c>
    </row>
    <row r="126" spans="1:21" x14ac:dyDescent="0.35">
      <c r="A126" s="24" t="s">
        <v>133</v>
      </c>
      <c r="B126" s="24" t="s">
        <v>287</v>
      </c>
      <c r="C126" s="24">
        <v>1124</v>
      </c>
      <c r="D126" s="24" t="s">
        <v>161</v>
      </c>
      <c r="E126" s="24" t="s">
        <v>169</v>
      </c>
      <c r="F126" s="24" t="s">
        <v>174</v>
      </c>
      <c r="G126" s="27">
        <v>60034</v>
      </c>
      <c r="H126" s="23">
        <v>42876</v>
      </c>
      <c r="I126" s="24">
        <v>1</v>
      </c>
      <c r="J126" s="24" t="s">
        <v>181</v>
      </c>
      <c r="K126" s="24" t="s">
        <v>271</v>
      </c>
      <c r="L126" s="28">
        <v>60034</v>
      </c>
      <c r="M126" s="23">
        <v>42876</v>
      </c>
      <c r="N126" s="24">
        <v>1</v>
      </c>
      <c r="O126" s="24">
        <v>1</v>
      </c>
      <c r="P126" s="24" t="s">
        <v>181</v>
      </c>
      <c r="Q126" s="29">
        <v>45990</v>
      </c>
      <c r="R126" s="30">
        <v>45990.548522916666</v>
      </c>
      <c r="S126" s="26">
        <v>2017</v>
      </c>
      <c r="T126" s="26" t="s">
        <v>300</v>
      </c>
      <c r="U126" s="26">
        <f>COUNTIF(Table1_2[Country],Table1_2[Country])</f>
        <v>59</v>
      </c>
    </row>
    <row r="127" spans="1:21" x14ac:dyDescent="0.35">
      <c r="A127" s="24" t="s">
        <v>134</v>
      </c>
      <c r="B127" s="24" t="s">
        <v>287</v>
      </c>
      <c r="C127" s="24">
        <v>1125</v>
      </c>
      <c r="D127" s="24" t="s">
        <v>161</v>
      </c>
      <c r="E127" s="24" t="s">
        <v>166</v>
      </c>
      <c r="F127" s="24" t="s">
        <v>174</v>
      </c>
      <c r="G127" s="27">
        <v>90019</v>
      </c>
      <c r="H127" s="23">
        <v>42883</v>
      </c>
      <c r="I127" s="24">
        <v>5</v>
      </c>
      <c r="J127" s="24"/>
      <c r="K127" s="24" t="s">
        <v>272</v>
      </c>
      <c r="L127" s="28">
        <v>90019</v>
      </c>
      <c r="M127" s="23">
        <v>42883</v>
      </c>
      <c r="N127" s="24">
        <v>5</v>
      </c>
      <c r="O127" s="24">
        <v>5</v>
      </c>
      <c r="P127" s="24" t="s">
        <v>180</v>
      </c>
      <c r="Q127" s="29">
        <v>45990</v>
      </c>
      <c r="R127" s="30">
        <v>45990.548522916666</v>
      </c>
      <c r="S127" s="26">
        <v>2017</v>
      </c>
      <c r="T127" s="26" t="s">
        <v>300</v>
      </c>
      <c r="U127" s="26">
        <f>COUNTIF(Table1_2[Country],Table1_2[Country])</f>
        <v>59</v>
      </c>
    </row>
    <row r="128" spans="1:21" x14ac:dyDescent="0.35">
      <c r="A128" s="24" t="s">
        <v>135</v>
      </c>
      <c r="B128" s="24" t="s">
        <v>287</v>
      </c>
      <c r="C128" s="24">
        <v>1126</v>
      </c>
      <c r="D128" s="24" t="s">
        <v>165</v>
      </c>
      <c r="E128" s="24" t="s">
        <v>170</v>
      </c>
      <c r="F128" s="24" t="s">
        <v>172</v>
      </c>
      <c r="G128" s="27">
        <v>71494</v>
      </c>
      <c r="H128" s="23">
        <v>42890</v>
      </c>
      <c r="I128" s="24">
        <v>3</v>
      </c>
      <c r="J128" s="24" t="s">
        <v>180</v>
      </c>
      <c r="K128" s="24" t="s">
        <v>273</v>
      </c>
      <c r="L128" s="28">
        <v>71494</v>
      </c>
      <c r="M128" s="23">
        <v>42890</v>
      </c>
      <c r="N128" s="24">
        <v>3</v>
      </c>
      <c r="O128" s="24">
        <v>3</v>
      </c>
      <c r="P128" s="24" t="s">
        <v>180</v>
      </c>
      <c r="Q128" s="29">
        <v>45990</v>
      </c>
      <c r="R128" s="30">
        <v>45990.548522916666</v>
      </c>
      <c r="S128" s="26">
        <v>2017</v>
      </c>
      <c r="T128" s="26" t="s">
        <v>301</v>
      </c>
      <c r="U128" s="26">
        <f>COUNTIF(Table1_2[Country],Table1_2[Country])</f>
        <v>23</v>
      </c>
    </row>
    <row r="129" spans="1:21" x14ac:dyDescent="0.35">
      <c r="A129" s="24" t="s">
        <v>136</v>
      </c>
      <c r="B129" s="24" t="s">
        <v>287</v>
      </c>
      <c r="C129" s="24">
        <v>1127</v>
      </c>
      <c r="D129" s="24" t="s">
        <v>161</v>
      </c>
      <c r="E129" s="24" t="s">
        <v>166</v>
      </c>
      <c r="F129" s="24" t="s">
        <v>173</v>
      </c>
      <c r="G129" s="27">
        <v>91953</v>
      </c>
      <c r="H129" s="23">
        <v>42897</v>
      </c>
      <c r="I129" s="24">
        <v>2</v>
      </c>
      <c r="J129" s="24" t="s">
        <v>180</v>
      </c>
      <c r="K129" s="24" t="s">
        <v>209</v>
      </c>
      <c r="L129" s="28">
        <v>91953</v>
      </c>
      <c r="M129" s="23">
        <v>42897</v>
      </c>
      <c r="N129" s="24">
        <v>2</v>
      </c>
      <c r="O129" s="24">
        <v>2</v>
      </c>
      <c r="P129" s="24" t="s">
        <v>180</v>
      </c>
      <c r="Q129" s="29">
        <v>45990</v>
      </c>
      <c r="R129" s="30">
        <v>45990.548522916666</v>
      </c>
      <c r="S129" s="26">
        <v>2017</v>
      </c>
      <c r="T129" s="26" t="s">
        <v>301</v>
      </c>
      <c r="U129" s="26">
        <f>COUNTIF(Table1_2[Country],Table1_2[Country])</f>
        <v>24</v>
      </c>
    </row>
    <row r="130" spans="1:21" x14ac:dyDescent="0.35">
      <c r="A130" s="24" t="s">
        <v>137</v>
      </c>
      <c r="B130" s="24" t="s">
        <v>287</v>
      </c>
      <c r="C130" s="24">
        <v>1128</v>
      </c>
      <c r="D130" s="24" t="s">
        <v>164</v>
      </c>
      <c r="E130" s="24" t="s">
        <v>168</v>
      </c>
      <c r="F130" s="24" t="s">
        <v>173</v>
      </c>
      <c r="G130" s="27">
        <v>30402</v>
      </c>
      <c r="H130" s="23">
        <v>42904</v>
      </c>
      <c r="I130" s="24">
        <v>1</v>
      </c>
      <c r="J130" s="24"/>
      <c r="K130" s="24" t="s">
        <v>274</v>
      </c>
      <c r="L130" s="28">
        <v>30402</v>
      </c>
      <c r="M130" s="23">
        <v>42904</v>
      </c>
      <c r="N130" s="24">
        <v>1</v>
      </c>
      <c r="O130" s="24">
        <v>1</v>
      </c>
      <c r="P130" s="24" t="s">
        <v>180</v>
      </c>
      <c r="Q130" s="29">
        <v>45990</v>
      </c>
      <c r="R130" s="30">
        <v>45990.548522916666</v>
      </c>
      <c r="S130" s="26">
        <v>2017</v>
      </c>
      <c r="T130" s="26" t="s">
        <v>301</v>
      </c>
      <c r="U130" s="26">
        <f>COUNTIF(Table1_2[Country],Table1_2[Country])</f>
        <v>24</v>
      </c>
    </row>
    <row r="131" spans="1:21" x14ac:dyDescent="0.35">
      <c r="A131" s="24" t="s">
        <v>138</v>
      </c>
      <c r="B131" s="24" t="s">
        <v>287</v>
      </c>
      <c r="C131" s="24">
        <v>1129</v>
      </c>
      <c r="D131" s="24" t="s">
        <v>165</v>
      </c>
      <c r="E131" s="24" t="s">
        <v>170</v>
      </c>
      <c r="F131" s="24" t="s">
        <v>175</v>
      </c>
      <c r="G131" s="27">
        <v>62994</v>
      </c>
      <c r="H131" s="23">
        <v>42911</v>
      </c>
      <c r="I131" s="24"/>
      <c r="J131" s="24"/>
      <c r="K131" s="24" t="s">
        <v>221</v>
      </c>
      <c r="L131" s="28">
        <v>62994</v>
      </c>
      <c r="M131" s="23">
        <v>42911</v>
      </c>
      <c r="N131" s="24">
        <v>3.1086956521739131</v>
      </c>
      <c r="O131" s="24">
        <v>3</v>
      </c>
      <c r="P131" s="24" t="s">
        <v>180</v>
      </c>
      <c r="Q131" s="29">
        <v>45990</v>
      </c>
      <c r="R131" s="30">
        <v>45990.548522916666</v>
      </c>
      <c r="S131" s="26">
        <v>2017</v>
      </c>
      <c r="T131" s="26" t="s">
        <v>301</v>
      </c>
      <c r="U131" s="26">
        <f>COUNTIF(Table1_2[Country],Table1_2[Country])</f>
        <v>25</v>
      </c>
    </row>
    <row r="132" spans="1:21" x14ac:dyDescent="0.35">
      <c r="A132" s="24" t="s">
        <v>139</v>
      </c>
      <c r="B132" s="24" t="s">
        <v>287</v>
      </c>
      <c r="C132" s="24">
        <v>1130</v>
      </c>
      <c r="D132" s="24" t="s">
        <v>160</v>
      </c>
      <c r="E132" s="24" t="s">
        <v>168</v>
      </c>
      <c r="F132" s="24" t="s">
        <v>174</v>
      </c>
      <c r="G132" s="27">
        <v>48289</v>
      </c>
      <c r="H132" s="23"/>
      <c r="I132" s="24">
        <v>3</v>
      </c>
      <c r="J132" s="24" t="s">
        <v>180</v>
      </c>
      <c r="K132" s="24" t="s">
        <v>189</v>
      </c>
      <c r="L132" s="28">
        <v>48289</v>
      </c>
      <c r="M132" s="23">
        <v>42563.041666666664</v>
      </c>
      <c r="N132" s="24">
        <v>3</v>
      </c>
      <c r="O132" s="24">
        <v>3</v>
      </c>
      <c r="P132" s="24" t="s">
        <v>180</v>
      </c>
      <c r="Q132" s="29">
        <v>45990</v>
      </c>
      <c r="R132" s="30">
        <v>45990.548522916666</v>
      </c>
      <c r="S132" s="26">
        <v>2016</v>
      </c>
      <c r="T132" s="26" t="s">
        <v>302</v>
      </c>
      <c r="U132" s="26">
        <f>COUNTIF(Table1_2[Country],Table1_2[Country])</f>
        <v>59</v>
      </c>
    </row>
    <row r="133" spans="1:21" x14ac:dyDescent="0.35">
      <c r="A133" s="24" t="s">
        <v>140</v>
      </c>
      <c r="B133" s="24" t="s">
        <v>287</v>
      </c>
      <c r="C133" s="24">
        <v>1131</v>
      </c>
      <c r="D133" s="24" t="s">
        <v>163</v>
      </c>
      <c r="E133" s="24" t="s">
        <v>170</v>
      </c>
      <c r="F133" s="24" t="s">
        <v>172</v>
      </c>
      <c r="G133" s="27">
        <v>34402</v>
      </c>
      <c r="H133" s="23">
        <v>42925</v>
      </c>
      <c r="I133" s="24">
        <v>3</v>
      </c>
      <c r="J133" s="24" t="s">
        <v>179</v>
      </c>
      <c r="K133" s="24" t="s">
        <v>218</v>
      </c>
      <c r="L133" s="28">
        <v>34402</v>
      </c>
      <c r="M133" s="23">
        <v>42925</v>
      </c>
      <c r="N133" s="24">
        <v>3</v>
      </c>
      <c r="O133" s="24">
        <v>3</v>
      </c>
      <c r="P133" s="24" t="s">
        <v>179</v>
      </c>
      <c r="Q133" s="29">
        <v>45990</v>
      </c>
      <c r="R133" s="30">
        <v>45990.548522916666</v>
      </c>
      <c r="S133" s="26">
        <v>2017</v>
      </c>
      <c r="T133" s="26" t="s">
        <v>302</v>
      </c>
      <c r="U133" s="26">
        <f>COUNTIF(Table1_2[Country],Table1_2[Country])</f>
        <v>23</v>
      </c>
    </row>
    <row r="134" spans="1:21" x14ac:dyDescent="0.35">
      <c r="A134" s="24" t="s">
        <v>141</v>
      </c>
      <c r="B134" s="24" t="s">
        <v>287</v>
      </c>
      <c r="C134" s="24">
        <v>1132</v>
      </c>
      <c r="D134" s="24" t="s">
        <v>159</v>
      </c>
      <c r="E134" s="24" t="s">
        <v>167</v>
      </c>
      <c r="F134" s="24" t="s">
        <v>173</v>
      </c>
      <c r="G134" s="27">
        <v>38678</v>
      </c>
      <c r="H134" s="23">
        <v>42932</v>
      </c>
      <c r="I134" s="24">
        <v>3</v>
      </c>
      <c r="J134" s="24" t="s">
        <v>179</v>
      </c>
      <c r="K134" s="24" t="s">
        <v>275</v>
      </c>
      <c r="L134" s="28">
        <v>38678</v>
      </c>
      <c r="M134" s="23">
        <v>42932</v>
      </c>
      <c r="N134" s="24">
        <v>3</v>
      </c>
      <c r="O134" s="24">
        <v>3</v>
      </c>
      <c r="P134" s="24" t="s">
        <v>179</v>
      </c>
      <c r="Q134" s="29">
        <v>45990</v>
      </c>
      <c r="R134" s="30">
        <v>45990.548522916666</v>
      </c>
      <c r="S134" s="26">
        <v>2017</v>
      </c>
      <c r="T134" s="26" t="s">
        <v>302</v>
      </c>
      <c r="U134" s="26">
        <f>COUNTIF(Table1_2[Country],Table1_2[Country])</f>
        <v>24</v>
      </c>
    </row>
    <row r="135" spans="1:21" x14ac:dyDescent="0.35">
      <c r="A135" s="24" t="s">
        <v>142</v>
      </c>
      <c r="B135" s="24" t="s">
        <v>287</v>
      </c>
      <c r="C135" s="24">
        <v>1133</v>
      </c>
      <c r="D135" s="24" t="s">
        <v>164</v>
      </c>
      <c r="E135" s="24" t="s">
        <v>167</v>
      </c>
      <c r="F135" s="24" t="s">
        <v>172</v>
      </c>
      <c r="G135" s="27">
        <v>45758</v>
      </c>
      <c r="H135" s="23">
        <v>42939</v>
      </c>
      <c r="I135" s="24">
        <v>3</v>
      </c>
      <c r="J135" s="24"/>
      <c r="K135" s="24" t="s">
        <v>264</v>
      </c>
      <c r="L135" s="28">
        <v>45758</v>
      </c>
      <c r="M135" s="23">
        <v>42939</v>
      </c>
      <c r="N135" s="24">
        <v>3</v>
      </c>
      <c r="O135" s="24">
        <v>3</v>
      </c>
      <c r="P135" s="24" t="s">
        <v>180</v>
      </c>
      <c r="Q135" s="29">
        <v>45990</v>
      </c>
      <c r="R135" s="30">
        <v>45990.548522916666</v>
      </c>
      <c r="S135" s="26">
        <v>2017</v>
      </c>
      <c r="T135" s="26" t="s">
        <v>302</v>
      </c>
      <c r="U135" s="26">
        <f>COUNTIF(Table1_2[Country],Table1_2[Country])</f>
        <v>23</v>
      </c>
    </row>
    <row r="136" spans="1:21" x14ac:dyDescent="0.35">
      <c r="A136" s="24" t="s">
        <v>143</v>
      </c>
      <c r="B136" s="24" t="s">
        <v>287</v>
      </c>
      <c r="C136" s="24">
        <v>1134</v>
      </c>
      <c r="D136" s="24" t="s">
        <v>159</v>
      </c>
      <c r="E136" s="24" t="s">
        <v>170</v>
      </c>
      <c r="F136" s="24" t="s">
        <v>174</v>
      </c>
      <c r="G136" s="27">
        <v>62476</v>
      </c>
      <c r="H136" s="23">
        <v>42946</v>
      </c>
      <c r="I136" s="24">
        <v>1</v>
      </c>
      <c r="J136" s="24" t="s">
        <v>179</v>
      </c>
      <c r="K136" s="24" t="s">
        <v>231</v>
      </c>
      <c r="L136" s="28">
        <v>62476</v>
      </c>
      <c r="M136" s="23">
        <v>42946</v>
      </c>
      <c r="N136" s="24">
        <v>1</v>
      </c>
      <c r="O136" s="24">
        <v>1</v>
      </c>
      <c r="P136" s="24" t="s">
        <v>179</v>
      </c>
      <c r="Q136" s="29">
        <v>45990</v>
      </c>
      <c r="R136" s="30">
        <v>45990.548522916666</v>
      </c>
      <c r="S136" s="26">
        <v>2017</v>
      </c>
      <c r="T136" s="26" t="s">
        <v>302</v>
      </c>
      <c r="U136" s="26">
        <f>COUNTIF(Table1_2[Country],Table1_2[Country])</f>
        <v>59</v>
      </c>
    </row>
    <row r="137" spans="1:21" x14ac:dyDescent="0.35">
      <c r="A137" s="24" t="s">
        <v>144</v>
      </c>
      <c r="B137" s="24" t="s">
        <v>287</v>
      </c>
      <c r="C137" s="24">
        <v>1135</v>
      </c>
      <c r="D137" s="24" t="s">
        <v>178</v>
      </c>
      <c r="E137" s="24" t="s">
        <v>169</v>
      </c>
      <c r="F137" s="24" t="s">
        <v>175</v>
      </c>
      <c r="G137" s="27">
        <v>39280</v>
      </c>
      <c r="H137" s="23">
        <v>42953</v>
      </c>
      <c r="I137" s="24">
        <v>3</v>
      </c>
      <c r="J137" s="24" t="s">
        <v>181</v>
      </c>
      <c r="K137" s="24" t="s">
        <v>214</v>
      </c>
      <c r="L137" s="28">
        <v>39280</v>
      </c>
      <c r="M137" s="23">
        <v>42953</v>
      </c>
      <c r="N137" s="24">
        <v>3</v>
      </c>
      <c r="O137" s="24">
        <v>3</v>
      </c>
      <c r="P137" s="24" t="s">
        <v>181</v>
      </c>
      <c r="Q137" s="29">
        <v>45990</v>
      </c>
      <c r="R137" s="30">
        <v>45990.548522916666</v>
      </c>
      <c r="S137" s="26">
        <v>2017</v>
      </c>
      <c r="T137" s="26" t="s">
        <v>303</v>
      </c>
      <c r="U137" s="26">
        <f>COUNTIF(Table1_2[Country],Table1_2[Country])</f>
        <v>25</v>
      </c>
    </row>
    <row r="138" spans="1:21" x14ac:dyDescent="0.35">
      <c r="A138" s="24" t="s">
        <v>145</v>
      </c>
      <c r="B138" s="24" t="s">
        <v>287</v>
      </c>
      <c r="C138" s="24">
        <v>1136</v>
      </c>
      <c r="D138" s="24" t="s">
        <v>162</v>
      </c>
      <c r="E138" s="24" t="s">
        <v>166</v>
      </c>
      <c r="F138" s="24" t="s">
        <v>174</v>
      </c>
      <c r="G138" s="27">
        <v>60335</v>
      </c>
      <c r="H138" s="23">
        <v>42960</v>
      </c>
      <c r="I138" s="24">
        <v>4</v>
      </c>
      <c r="J138" s="24" t="s">
        <v>179</v>
      </c>
      <c r="K138" s="24" t="s">
        <v>227</v>
      </c>
      <c r="L138" s="28">
        <v>60335</v>
      </c>
      <c r="M138" s="23">
        <v>42960</v>
      </c>
      <c r="N138" s="24">
        <v>4</v>
      </c>
      <c r="O138" s="24">
        <v>4</v>
      </c>
      <c r="P138" s="24" t="s">
        <v>179</v>
      </c>
      <c r="Q138" s="29">
        <v>45990</v>
      </c>
      <c r="R138" s="30">
        <v>45990.548522916666</v>
      </c>
      <c r="S138" s="26">
        <v>2017</v>
      </c>
      <c r="T138" s="26" t="s">
        <v>303</v>
      </c>
      <c r="U138" s="26">
        <f>COUNTIF(Table1_2[Country],Table1_2[Country])</f>
        <v>59</v>
      </c>
    </row>
    <row r="139" spans="1:21" x14ac:dyDescent="0.35">
      <c r="A139" s="24" t="s">
        <v>146</v>
      </c>
      <c r="B139" s="24" t="s">
        <v>287</v>
      </c>
      <c r="C139" s="24">
        <v>1137</v>
      </c>
      <c r="D139" s="24" t="s">
        <v>164</v>
      </c>
      <c r="E139" s="24" t="s">
        <v>167</v>
      </c>
      <c r="F139" s="24" t="s">
        <v>172</v>
      </c>
      <c r="G139" s="27">
        <v>84968</v>
      </c>
      <c r="H139" s="23">
        <v>42967</v>
      </c>
      <c r="I139" s="24"/>
      <c r="J139" s="24"/>
      <c r="K139" s="24" t="s">
        <v>276</v>
      </c>
      <c r="L139" s="28">
        <v>84968</v>
      </c>
      <c r="M139" s="23">
        <v>42967</v>
      </c>
      <c r="N139" s="24">
        <v>2.7</v>
      </c>
      <c r="O139" s="24">
        <v>3</v>
      </c>
      <c r="P139" s="24" t="s">
        <v>180</v>
      </c>
      <c r="Q139" s="29">
        <v>45990</v>
      </c>
      <c r="R139" s="30">
        <v>45990.548522916666</v>
      </c>
      <c r="S139" s="26">
        <v>2017</v>
      </c>
      <c r="T139" s="26" t="s">
        <v>303</v>
      </c>
      <c r="U139" s="26">
        <f>COUNTIF(Table1_2[Country],Table1_2[Country])</f>
        <v>23</v>
      </c>
    </row>
    <row r="140" spans="1:21" x14ac:dyDescent="0.35">
      <c r="A140" s="24" t="s">
        <v>147</v>
      </c>
      <c r="B140" s="24" t="s">
        <v>287</v>
      </c>
      <c r="C140" s="24">
        <v>1138</v>
      </c>
      <c r="D140" s="24" t="s">
        <v>164</v>
      </c>
      <c r="E140" s="24" t="s">
        <v>170</v>
      </c>
      <c r="F140" s="24" t="s">
        <v>176</v>
      </c>
      <c r="G140" s="27">
        <v>84750</v>
      </c>
      <c r="H140" s="23">
        <v>42974</v>
      </c>
      <c r="I140" s="24">
        <v>4</v>
      </c>
      <c r="J140" s="24" t="s">
        <v>181</v>
      </c>
      <c r="K140" s="24" t="s">
        <v>195</v>
      </c>
      <c r="L140" s="28">
        <v>84750</v>
      </c>
      <c r="M140" s="23">
        <v>42974</v>
      </c>
      <c r="N140" s="24">
        <v>4</v>
      </c>
      <c r="O140" s="24">
        <v>4</v>
      </c>
      <c r="P140" s="24" t="s">
        <v>181</v>
      </c>
      <c r="Q140" s="29">
        <v>45990</v>
      </c>
      <c r="R140" s="30">
        <v>45990.548522916666</v>
      </c>
      <c r="S140" s="26">
        <v>2017</v>
      </c>
      <c r="T140" s="26" t="s">
        <v>303</v>
      </c>
      <c r="U140" s="26">
        <f>COUNTIF(Table1_2[Country],Table1_2[Country])</f>
        <v>19</v>
      </c>
    </row>
    <row r="141" spans="1:21" x14ac:dyDescent="0.35">
      <c r="A141" s="24" t="s">
        <v>148</v>
      </c>
      <c r="B141" s="24" t="s">
        <v>287</v>
      </c>
      <c r="C141" s="24">
        <v>1139</v>
      </c>
      <c r="D141" s="24" t="s">
        <v>165</v>
      </c>
      <c r="E141" s="24" t="s">
        <v>169</v>
      </c>
      <c r="F141" s="24" t="s">
        <v>174</v>
      </c>
      <c r="G141" s="27">
        <v>73348</v>
      </c>
      <c r="H141" s="23">
        <v>42981</v>
      </c>
      <c r="I141" s="24">
        <v>2</v>
      </c>
      <c r="J141" s="24"/>
      <c r="K141" s="24" t="s">
        <v>243</v>
      </c>
      <c r="L141" s="28">
        <v>73348</v>
      </c>
      <c r="M141" s="23">
        <v>42981</v>
      </c>
      <c r="N141" s="24">
        <v>2</v>
      </c>
      <c r="O141" s="24">
        <v>2</v>
      </c>
      <c r="P141" s="24" t="s">
        <v>180</v>
      </c>
      <c r="Q141" s="29">
        <v>45990</v>
      </c>
      <c r="R141" s="30">
        <v>45990.548522916666</v>
      </c>
      <c r="S141" s="26">
        <v>2017</v>
      </c>
      <c r="T141" s="26" t="s">
        <v>304</v>
      </c>
      <c r="U141" s="26">
        <f>COUNTIF(Table1_2[Country],Table1_2[Country])</f>
        <v>59</v>
      </c>
    </row>
    <row r="142" spans="1:21" x14ac:dyDescent="0.35">
      <c r="A142" s="24" t="s">
        <v>149</v>
      </c>
      <c r="B142" s="24" t="s">
        <v>287</v>
      </c>
      <c r="C142" s="24">
        <v>1140</v>
      </c>
      <c r="D142" s="24" t="s">
        <v>164</v>
      </c>
      <c r="E142" s="24" t="s">
        <v>168</v>
      </c>
      <c r="F142" s="24" t="s">
        <v>173</v>
      </c>
      <c r="G142" s="27" t="s">
        <v>177</v>
      </c>
      <c r="H142" s="23">
        <v>42988</v>
      </c>
      <c r="I142" s="24">
        <v>4</v>
      </c>
      <c r="J142" s="24" t="s">
        <v>179</v>
      </c>
      <c r="K142" s="24" t="s">
        <v>182</v>
      </c>
      <c r="L142" s="28">
        <v>67929.08</v>
      </c>
      <c r="M142" s="23">
        <v>42988</v>
      </c>
      <c r="N142" s="24">
        <v>4</v>
      </c>
      <c r="O142" s="24">
        <v>4</v>
      </c>
      <c r="P142" s="24" t="s">
        <v>179</v>
      </c>
      <c r="Q142" s="29">
        <v>45990</v>
      </c>
      <c r="R142" s="30">
        <v>45990.548522916666</v>
      </c>
      <c r="S142" s="26">
        <v>2017</v>
      </c>
      <c r="T142" s="26" t="s">
        <v>304</v>
      </c>
      <c r="U142" s="26">
        <f>COUNTIF(Table1_2[Country],Table1_2[Country])</f>
        <v>24</v>
      </c>
    </row>
    <row r="143" spans="1:21" x14ac:dyDescent="0.35">
      <c r="A143" s="24" t="s">
        <v>150</v>
      </c>
      <c r="B143" s="24" t="s">
        <v>287</v>
      </c>
      <c r="C143" s="24">
        <v>1141</v>
      </c>
      <c r="D143" s="24" t="s">
        <v>162</v>
      </c>
      <c r="E143" s="24" t="s">
        <v>170</v>
      </c>
      <c r="F143" s="24" t="s">
        <v>173</v>
      </c>
      <c r="G143" s="27">
        <v>66882</v>
      </c>
      <c r="H143" s="23">
        <v>42995</v>
      </c>
      <c r="I143" s="24">
        <v>5</v>
      </c>
      <c r="J143" s="24" t="s">
        <v>179</v>
      </c>
      <c r="K143" s="24" t="s">
        <v>207</v>
      </c>
      <c r="L143" s="28">
        <v>66882</v>
      </c>
      <c r="M143" s="23">
        <v>42995</v>
      </c>
      <c r="N143" s="24">
        <v>5</v>
      </c>
      <c r="O143" s="24">
        <v>5</v>
      </c>
      <c r="P143" s="24" t="s">
        <v>179</v>
      </c>
      <c r="Q143" s="29">
        <v>45990</v>
      </c>
      <c r="R143" s="30">
        <v>45990.548522916666</v>
      </c>
      <c r="S143" s="26">
        <v>2017</v>
      </c>
      <c r="T143" s="26" t="s">
        <v>304</v>
      </c>
      <c r="U143" s="26">
        <f>COUNTIF(Table1_2[Country],Table1_2[Country])</f>
        <v>24</v>
      </c>
    </row>
    <row r="144" spans="1:21" x14ac:dyDescent="0.35">
      <c r="A144" s="24" t="s">
        <v>151</v>
      </c>
      <c r="B144" s="24" t="s">
        <v>287</v>
      </c>
      <c r="C144" s="24">
        <v>1142</v>
      </c>
      <c r="D144" s="24" t="s">
        <v>160</v>
      </c>
      <c r="E144" s="24" t="s">
        <v>170</v>
      </c>
      <c r="F144" s="24" t="s">
        <v>174</v>
      </c>
      <c r="G144" s="27">
        <v>86775</v>
      </c>
      <c r="H144" s="23">
        <v>43002</v>
      </c>
      <c r="I144" s="24">
        <v>3</v>
      </c>
      <c r="J144" s="24" t="s">
        <v>179</v>
      </c>
      <c r="K144" s="24" t="s">
        <v>212</v>
      </c>
      <c r="L144" s="28">
        <v>86775</v>
      </c>
      <c r="M144" s="23">
        <v>43002</v>
      </c>
      <c r="N144" s="24">
        <v>3</v>
      </c>
      <c r="O144" s="24">
        <v>3</v>
      </c>
      <c r="P144" s="24" t="s">
        <v>179</v>
      </c>
      <c r="Q144" s="29">
        <v>45990</v>
      </c>
      <c r="R144" s="30">
        <v>45990.548522916666</v>
      </c>
      <c r="S144" s="26">
        <v>2017</v>
      </c>
      <c r="T144" s="26" t="s">
        <v>304</v>
      </c>
      <c r="U144" s="26">
        <f>COUNTIF(Table1_2[Country],Table1_2[Country])</f>
        <v>59</v>
      </c>
    </row>
    <row r="145" spans="1:21" x14ac:dyDescent="0.35">
      <c r="A145" s="24" t="s">
        <v>152</v>
      </c>
      <c r="B145" s="24" t="s">
        <v>287</v>
      </c>
      <c r="C145" s="24">
        <v>1143</v>
      </c>
      <c r="D145" s="24" t="s">
        <v>164</v>
      </c>
      <c r="E145" s="24" t="s">
        <v>168</v>
      </c>
      <c r="F145" s="24" t="s">
        <v>175</v>
      </c>
      <c r="G145" s="27">
        <v>91620</v>
      </c>
      <c r="H145" s="23">
        <v>43009</v>
      </c>
      <c r="I145" s="24"/>
      <c r="J145" s="24"/>
      <c r="K145" s="24" t="s">
        <v>277</v>
      </c>
      <c r="L145" s="28">
        <v>91620</v>
      </c>
      <c r="M145" s="23">
        <v>43009</v>
      </c>
      <c r="N145" s="24">
        <v>2.7272727272727271</v>
      </c>
      <c r="O145" s="24">
        <v>3</v>
      </c>
      <c r="P145" s="24" t="s">
        <v>180</v>
      </c>
      <c r="Q145" s="29">
        <v>45990</v>
      </c>
      <c r="R145" s="30">
        <v>45990.548522916666</v>
      </c>
      <c r="S145" s="26">
        <v>2017</v>
      </c>
      <c r="T145" s="26" t="s">
        <v>305</v>
      </c>
      <c r="U145" s="26">
        <f>COUNTIF(Table1_2[Country],Table1_2[Country])</f>
        <v>25</v>
      </c>
    </row>
    <row r="146" spans="1:21" x14ac:dyDescent="0.35">
      <c r="A146" s="24" t="s">
        <v>153</v>
      </c>
      <c r="B146" s="24" t="s">
        <v>287</v>
      </c>
      <c r="C146" s="24">
        <v>1144</v>
      </c>
      <c r="D146" s="24" t="s">
        <v>159</v>
      </c>
      <c r="E146" s="24" t="s">
        <v>170</v>
      </c>
      <c r="F146" s="24" t="s">
        <v>174</v>
      </c>
      <c r="G146" s="27">
        <v>94148</v>
      </c>
      <c r="H146" s="23">
        <v>43016</v>
      </c>
      <c r="I146" s="24">
        <v>2</v>
      </c>
      <c r="J146" s="24"/>
      <c r="K146" s="24" t="s">
        <v>278</v>
      </c>
      <c r="L146" s="28">
        <v>94148</v>
      </c>
      <c r="M146" s="23">
        <v>43016</v>
      </c>
      <c r="N146" s="24">
        <v>2</v>
      </c>
      <c r="O146" s="24">
        <v>2</v>
      </c>
      <c r="P146" s="24" t="s">
        <v>180</v>
      </c>
      <c r="Q146" s="29">
        <v>45990</v>
      </c>
      <c r="R146" s="30">
        <v>45990.548522916666</v>
      </c>
      <c r="S146" s="26">
        <v>2017</v>
      </c>
      <c r="T146" s="26" t="s">
        <v>305</v>
      </c>
      <c r="U146" s="26">
        <f>COUNTIF(Table1_2[Country],Table1_2[Country])</f>
        <v>59</v>
      </c>
    </row>
    <row r="147" spans="1:21" x14ac:dyDescent="0.35">
      <c r="A147" s="24" t="s">
        <v>154</v>
      </c>
      <c r="B147" s="24" t="s">
        <v>287</v>
      </c>
      <c r="C147" s="24">
        <v>1145</v>
      </c>
      <c r="D147" s="24" t="s">
        <v>163</v>
      </c>
      <c r="E147" s="24" t="s">
        <v>168</v>
      </c>
      <c r="F147" s="24" t="s">
        <v>176</v>
      </c>
      <c r="G147" s="27">
        <v>35627</v>
      </c>
      <c r="H147" s="23">
        <v>43023</v>
      </c>
      <c r="I147" s="24">
        <v>5</v>
      </c>
      <c r="J147" s="24" t="s">
        <v>181</v>
      </c>
      <c r="K147" s="24" t="s">
        <v>275</v>
      </c>
      <c r="L147" s="28">
        <v>35627</v>
      </c>
      <c r="M147" s="23">
        <v>43023</v>
      </c>
      <c r="N147" s="24">
        <v>5</v>
      </c>
      <c r="O147" s="24">
        <v>5</v>
      </c>
      <c r="P147" s="24" t="s">
        <v>181</v>
      </c>
      <c r="Q147" s="29">
        <v>45990</v>
      </c>
      <c r="R147" s="30">
        <v>45990.548522916666</v>
      </c>
      <c r="S147" s="26">
        <v>2017</v>
      </c>
      <c r="T147" s="26" t="s">
        <v>305</v>
      </c>
      <c r="U147" s="26">
        <f>COUNTIF(Table1_2[Country],Table1_2[Country])</f>
        <v>19</v>
      </c>
    </row>
    <row r="148" spans="1:21" x14ac:dyDescent="0.35">
      <c r="A148" s="24" t="s">
        <v>155</v>
      </c>
      <c r="B148" s="24" t="s">
        <v>287</v>
      </c>
      <c r="C148" s="24">
        <v>1146</v>
      </c>
      <c r="D148" s="24" t="s">
        <v>161</v>
      </c>
      <c r="E148" s="24" t="s">
        <v>170</v>
      </c>
      <c r="F148" s="24" t="s">
        <v>173</v>
      </c>
      <c r="G148" s="27">
        <v>57141</v>
      </c>
      <c r="H148" s="23">
        <v>43030</v>
      </c>
      <c r="I148" s="24">
        <v>2</v>
      </c>
      <c r="J148" s="24"/>
      <c r="K148" s="24" t="s">
        <v>276</v>
      </c>
      <c r="L148" s="28">
        <v>57141</v>
      </c>
      <c r="M148" s="23">
        <v>43030</v>
      </c>
      <c r="N148" s="24">
        <v>2</v>
      </c>
      <c r="O148" s="24">
        <v>2</v>
      </c>
      <c r="P148" s="24" t="s">
        <v>180</v>
      </c>
      <c r="Q148" s="29">
        <v>45990</v>
      </c>
      <c r="R148" s="30">
        <v>45990.548522916666</v>
      </c>
      <c r="S148" s="26">
        <v>2017</v>
      </c>
      <c r="T148" s="26" t="s">
        <v>305</v>
      </c>
      <c r="U148" s="26">
        <f>COUNTIF(Table1_2[Country],Table1_2[Country])</f>
        <v>24</v>
      </c>
    </row>
    <row r="149" spans="1:21" x14ac:dyDescent="0.35">
      <c r="A149" s="24" t="s">
        <v>156</v>
      </c>
      <c r="B149" s="24" t="s">
        <v>287</v>
      </c>
      <c r="C149" s="24">
        <v>1147</v>
      </c>
      <c r="D149" s="24" t="s">
        <v>165</v>
      </c>
      <c r="E149" s="24" t="s">
        <v>168</v>
      </c>
      <c r="F149" s="24" t="s">
        <v>176</v>
      </c>
      <c r="G149" s="27">
        <v>65270</v>
      </c>
      <c r="H149" s="23">
        <v>43037</v>
      </c>
      <c r="I149" s="24">
        <v>1</v>
      </c>
      <c r="J149" s="24"/>
      <c r="K149" s="24" t="s">
        <v>279</v>
      </c>
      <c r="L149" s="28">
        <v>65270</v>
      </c>
      <c r="M149" s="23">
        <v>43037</v>
      </c>
      <c r="N149" s="24">
        <v>1</v>
      </c>
      <c r="O149" s="24">
        <v>1</v>
      </c>
      <c r="P149" s="24" t="s">
        <v>180</v>
      </c>
      <c r="Q149" s="29">
        <v>45990</v>
      </c>
      <c r="R149" s="30">
        <v>45990.548522916666</v>
      </c>
      <c r="S149" s="26">
        <v>2017</v>
      </c>
      <c r="T149" s="26" t="s">
        <v>305</v>
      </c>
      <c r="U149" s="26">
        <f>COUNTIF(Table1_2[Country],Table1_2[Country])</f>
        <v>19</v>
      </c>
    </row>
    <row r="150" spans="1:21" x14ac:dyDescent="0.35">
      <c r="A150" s="24" t="s">
        <v>157</v>
      </c>
      <c r="B150" s="24" t="s">
        <v>287</v>
      </c>
      <c r="C150" s="24">
        <v>1148</v>
      </c>
      <c r="D150" s="24" t="s">
        <v>165</v>
      </c>
      <c r="E150" s="24" t="s">
        <v>170</v>
      </c>
      <c r="F150" s="24" t="s">
        <v>175</v>
      </c>
      <c r="G150" s="27">
        <v>67335</v>
      </c>
      <c r="H150" s="23">
        <v>43044</v>
      </c>
      <c r="I150" s="24">
        <v>1</v>
      </c>
      <c r="J150" s="24" t="s">
        <v>179</v>
      </c>
      <c r="K150" s="24" t="s">
        <v>233</v>
      </c>
      <c r="L150" s="28">
        <v>67335</v>
      </c>
      <c r="M150" s="23">
        <v>43044</v>
      </c>
      <c r="N150" s="24">
        <v>1</v>
      </c>
      <c r="O150" s="24">
        <v>1</v>
      </c>
      <c r="P150" s="24" t="s">
        <v>179</v>
      </c>
      <c r="Q150" s="29">
        <v>45990</v>
      </c>
      <c r="R150" s="30">
        <v>45990.548522916666</v>
      </c>
      <c r="S150" s="26">
        <v>2017</v>
      </c>
      <c r="T150" s="26" t="s">
        <v>306</v>
      </c>
      <c r="U150" s="26">
        <f>COUNTIF(Table1_2[Country],Table1_2[Country])</f>
        <v>25</v>
      </c>
    </row>
    <row r="151" spans="1:21" x14ac:dyDescent="0.35">
      <c r="A151" s="24" t="s">
        <v>158</v>
      </c>
      <c r="B151" s="24" t="s">
        <v>287</v>
      </c>
      <c r="C151" s="24">
        <v>1149</v>
      </c>
      <c r="D151" s="24" t="s">
        <v>163</v>
      </c>
      <c r="E151" s="24" t="s">
        <v>170</v>
      </c>
      <c r="F151" s="24" t="s">
        <v>174</v>
      </c>
      <c r="G151" s="27">
        <v>98475</v>
      </c>
      <c r="H151" s="23">
        <v>43051</v>
      </c>
      <c r="I151" s="24">
        <v>5</v>
      </c>
      <c r="J151" s="24" t="s">
        <v>179</v>
      </c>
      <c r="K151" s="24" t="s">
        <v>280</v>
      </c>
      <c r="L151" s="28">
        <v>98475</v>
      </c>
      <c r="M151" s="23">
        <v>43051</v>
      </c>
      <c r="N151" s="24">
        <v>5</v>
      </c>
      <c r="O151" s="24">
        <v>5</v>
      </c>
      <c r="P151" s="24" t="s">
        <v>179</v>
      </c>
      <c r="Q151" s="29">
        <v>45990</v>
      </c>
      <c r="R151" s="30">
        <v>45990.548522916666</v>
      </c>
      <c r="S151" s="26">
        <v>2017</v>
      </c>
      <c r="T151" s="26" t="s">
        <v>306</v>
      </c>
      <c r="U151" s="26">
        <f>COUNTIF(Table1_2[Country],Table1_2[Country])</f>
        <v>59</v>
      </c>
    </row>
  </sheetData>
  <conditionalFormatting sqref="L2:L151">
    <cfRule type="cellIs" dxfId="119" priority="7" operator="lessThan">
      <formula>50000</formula>
    </cfRule>
    <cfRule type="cellIs" dxfId="118" priority="8" operator="greaterThan">
      <formula>80000</formula>
    </cfRule>
    <cfRule type="cellIs" dxfId="117" priority="9" operator="greaterThan">
      <formula>50000</formula>
    </cfRule>
  </conditionalFormatting>
  <conditionalFormatting sqref="O1:O151">
    <cfRule type="dataBar" priority="6">
      <dataBar>
        <cfvo type="min"/>
        <cfvo type="max"/>
        <color rgb="FF63C384"/>
      </dataBar>
      <extLst>
        <ext xmlns:x14="http://schemas.microsoft.com/office/spreadsheetml/2009/9/main" uri="{B025F937-C7B1-47D3-B67F-A62EFF666E3E}">
          <x14:id>{E78704F3-BC8B-413A-80EE-FE0EA47B4B79}</x14:id>
        </ext>
      </extLst>
    </cfRule>
  </conditionalFormatting>
  <conditionalFormatting sqref="P2:P151">
    <cfRule type="cellIs" dxfId="116" priority="1" operator="equal">
      <formula>"Unknown"</formula>
    </cfRule>
    <cfRule type="cellIs" dxfId="115" priority="2" operator="equal">
      <formula>"Other"</formula>
    </cfRule>
    <cfRule type="cellIs" dxfId="114" priority="3" operator="equal">
      <formula>"Female"</formula>
    </cfRule>
    <cfRule type="cellIs" dxfId="113" priority="4" operator="equal">
      <formula>"Male"</formula>
    </cfRule>
    <cfRule type="containsText" dxfId="112" priority="5" operator="containsText" text="Male">
      <formula>NOT(ISERROR(SEARCH("Male",P2)))</formula>
    </cfRule>
  </conditionalFormatting>
  <pageMargins left="0.7" right="0.7" top="0.75" bottom="0.75" header="0.3" footer="0.3"/>
  <pageSetup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E78704F3-BC8B-413A-80EE-FE0EA47B4B79}">
            <x14:dataBar minLength="0" maxLength="100" border="1" negativeBarBorderColorSameAsPositive="0">
              <x14:cfvo type="autoMin"/>
              <x14:cfvo type="autoMax"/>
              <x14:borderColor rgb="FF63C384"/>
              <x14:negativeFillColor rgb="FFFF0000"/>
              <x14:negativeBorderColor rgb="FFFF0000"/>
              <x14:axisColor rgb="FF000000"/>
            </x14:dataBar>
          </x14:cfRule>
          <xm:sqref>O1:O151</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F29DF-6EE9-47FB-8628-AF13DA005238}">
  <dimension ref="A1:N32"/>
  <sheetViews>
    <sheetView workbookViewId="0"/>
  </sheetViews>
  <sheetFormatPr defaultRowHeight="14.5" x14ac:dyDescent="0.35"/>
  <cols>
    <col min="1" max="1" width="16.26953125" style="24" bestFit="1" customWidth="1"/>
    <col min="2" max="2" width="15.26953125" style="24" bestFit="1" customWidth="1"/>
    <col min="3" max="4" width="7.36328125" style="24" bestFit="1" customWidth="1"/>
    <col min="5" max="5" width="9.453125" style="24" bestFit="1" customWidth="1"/>
    <col min="6" max="6" width="7.36328125" style="24" bestFit="1" customWidth="1"/>
    <col min="7" max="7" width="10.7265625" style="24" bestFit="1" customWidth="1"/>
    <col min="8" max="11" width="8.7265625" style="24"/>
    <col min="12" max="12" width="10.7265625" style="24" bestFit="1" customWidth="1"/>
    <col min="13" max="14" width="14.6328125" style="24" bestFit="1" customWidth="1"/>
    <col min="15" max="16384" width="8.7265625" style="24"/>
  </cols>
  <sheetData>
    <row r="1" spans="1:3" x14ac:dyDescent="0.35">
      <c r="A1" s="31" t="s">
        <v>2</v>
      </c>
      <c r="B1" s="17" t="s">
        <v>310</v>
      </c>
    </row>
    <row r="2" spans="1:3" x14ac:dyDescent="0.35">
      <c r="A2" s="17" t="s">
        <v>176</v>
      </c>
      <c r="B2" s="32">
        <v>61609.84210526316</v>
      </c>
    </row>
    <row r="3" spans="1:3" x14ac:dyDescent="0.35">
      <c r="A3" s="17" t="s">
        <v>172</v>
      </c>
      <c r="B3" s="32">
        <v>65861.433913043482</v>
      </c>
    </row>
    <row r="4" spans="1:3" x14ac:dyDescent="0.35">
      <c r="A4" s="17" t="s">
        <v>174</v>
      </c>
      <c r="B4" s="32">
        <v>68764.669661016946</v>
      </c>
    </row>
    <row r="5" spans="1:3" x14ac:dyDescent="0.35">
      <c r="A5" s="17" t="s">
        <v>175</v>
      </c>
      <c r="B5" s="32">
        <v>62117.982000000004</v>
      </c>
    </row>
    <row r="6" spans="1:3" x14ac:dyDescent="0.35">
      <c r="A6" s="17" t="s">
        <v>173</v>
      </c>
      <c r="B6" s="32">
        <v>68532.214384057981</v>
      </c>
    </row>
    <row r="7" spans="1:3" x14ac:dyDescent="0.35">
      <c r="A7" s="17" t="s">
        <v>309</v>
      </c>
      <c r="B7" s="32">
        <v>66268.254568115939</v>
      </c>
    </row>
    <row r="9" spans="1:3" x14ac:dyDescent="0.35">
      <c r="A9" s="31" t="s">
        <v>2</v>
      </c>
      <c r="B9" s="17" t="s">
        <v>310</v>
      </c>
      <c r="C9" s="33"/>
    </row>
    <row r="10" spans="1:3" x14ac:dyDescent="0.35">
      <c r="A10" s="17" t="s">
        <v>166</v>
      </c>
      <c r="B10" s="32">
        <v>65604.55</v>
      </c>
    </row>
    <row r="11" spans="1:3" x14ac:dyDescent="0.35">
      <c r="A11" s="17" t="s">
        <v>167</v>
      </c>
      <c r="B11" s="32">
        <v>67834.565217391311</v>
      </c>
    </row>
    <row r="12" spans="1:3" x14ac:dyDescent="0.35">
      <c r="A12" s="17" t="s">
        <v>169</v>
      </c>
      <c r="B12" s="32">
        <v>66157.5</v>
      </c>
    </row>
    <row r="13" spans="1:3" x14ac:dyDescent="0.35">
      <c r="A13" s="17" t="s">
        <v>170</v>
      </c>
      <c r="B13" s="32">
        <v>65071.979999999996</v>
      </c>
    </row>
    <row r="14" spans="1:3" x14ac:dyDescent="0.35">
      <c r="A14" s="17" t="s">
        <v>168</v>
      </c>
      <c r="B14" s="32">
        <v>67929.08</v>
      </c>
    </row>
    <row r="15" spans="1:3" x14ac:dyDescent="0.35">
      <c r="A15" s="17" t="s">
        <v>309</v>
      </c>
      <c r="B15" s="32">
        <v>66268.254568115954</v>
      </c>
    </row>
    <row r="17" spans="1:14" x14ac:dyDescent="0.35">
      <c r="A17" s="31" t="s">
        <v>310</v>
      </c>
      <c r="B17" s="31" t="s">
        <v>308</v>
      </c>
      <c r="C17" s="17"/>
      <c r="D17" s="17"/>
      <c r="E17" s="17"/>
      <c r="F17" s="17"/>
      <c r="G17" s="17"/>
    </row>
    <row r="18" spans="1:14" x14ac:dyDescent="0.35">
      <c r="A18" s="31" t="s">
        <v>7</v>
      </c>
      <c r="B18" s="17" t="s">
        <v>166</v>
      </c>
      <c r="C18" s="17" t="s">
        <v>167</v>
      </c>
      <c r="D18" s="17" t="s">
        <v>169</v>
      </c>
      <c r="E18" s="17" t="s">
        <v>170</v>
      </c>
      <c r="F18" s="17" t="s">
        <v>168</v>
      </c>
      <c r="G18" s="17" t="s">
        <v>309</v>
      </c>
    </row>
    <row r="19" spans="1:14" x14ac:dyDescent="0.35">
      <c r="A19" s="17" t="s">
        <v>181</v>
      </c>
      <c r="B19" s="32">
        <v>54401.183333333327</v>
      </c>
      <c r="C19" s="32">
        <v>65610.25</v>
      </c>
      <c r="D19" s="32">
        <v>66368.5</v>
      </c>
      <c r="E19" s="32">
        <v>62360.727272727272</v>
      </c>
      <c r="F19" s="32">
        <v>63301.5</v>
      </c>
      <c r="G19" s="32">
        <v>63205.074999999997</v>
      </c>
    </row>
    <row r="20" spans="1:14" x14ac:dyDescent="0.35">
      <c r="A20" s="17" t="s">
        <v>180</v>
      </c>
      <c r="B20" s="32">
        <v>67791.272727272721</v>
      </c>
      <c r="C20" s="32">
        <v>71747.75</v>
      </c>
      <c r="D20" s="32">
        <v>63864.615384615383</v>
      </c>
      <c r="E20" s="32">
        <v>65058.037692307691</v>
      </c>
      <c r="F20" s="32">
        <v>66426.642857142855</v>
      </c>
      <c r="G20" s="32">
        <v>66557.881315789477</v>
      </c>
    </row>
    <row r="21" spans="1:14" x14ac:dyDescent="0.35">
      <c r="A21" s="17" t="s">
        <v>179</v>
      </c>
      <c r="B21" s="32">
        <v>66969.71428571429</v>
      </c>
      <c r="C21" s="32">
        <v>63076.945652173912</v>
      </c>
      <c r="D21" s="32">
        <v>75530.666666666672</v>
      </c>
      <c r="E21" s="32">
        <v>66405.075384615382</v>
      </c>
      <c r="F21" s="32">
        <v>82442.77</v>
      </c>
      <c r="G21" s="32">
        <v>68372.360720496887</v>
      </c>
    </row>
    <row r="22" spans="1:14" x14ac:dyDescent="0.35">
      <c r="A22" s="17" t="s">
        <v>178</v>
      </c>
      <c r="B22" s="32">
        <v>65604.55</v>
      </c>
      <c r="C22" s="32"/>
      <c r="D22" s="32">
        <v>66157.5</v>
      </c>
      <c r="E22" s="32">
        <v>69357.326666666675</v>
      </c>
      <c r="F22" s="32"/>
      <c r="G22" s="32">
        <v>67966.805999999997</v>
      </c>
    </row>
    <row r="23" spans="1:14" x14ac:dyDescent="0.35">
      <c r="A23" s="17" t="s">
        <v>309</v>
      </c>
      <c r="B23" s="32">
        <v>65604.55</v>
      </c>
      <c r="C23" s="32">
        <v>67834.565217391311</v>
      </c>
      <c r="D23" s="32">
        <v>66157.5</v>
      </c>
      <c r="E23" s="32">
        <v>65071.979999999996</v>
      </c>
      <c r="F23" s="32">
        <v>67929.08</v>
      </c>
      <c r="G23" s="32">
        <v>66268.254568115939</v>
      </c>
    </row>
    <row r="25" spans="1:14" x14ac:dyDescent="0.35">
      <c r="A25" s="31" t="s">
        <v>3</v>
      </c>
      <c r="B25" s="17" t="s">
        <v>311</v>
      </c>
      <c r="C25"/>
      <c r="D25" s="33"/>
      <c r="E25" s="33"/>
      <c r="F25" s="33"/>
      <c r="G25" s="33"/>
    </row>
    <row r="26" spans="1:14" x14ac:dyDescent="0.35">
      <c r="A26" s="17" t="s">
        <v>176</v>
      </c>
      <c r="B26" s="34">
        <v>19</v>
      </c>
      <c r="C26"/>
      <c r="L26"/>
      <c r="M26"/>
      <c r="N26"/>
    </row>
    <row r="27" spans="1:14" x14ac:dyDescent="0.35">
      <c r="A27" s="17" t="s">
        <v>172</v>
      </c>
      <c r="B27" s="34">
        <v>23</v>
      </c>
      <c r="C27"/>
      <c r="L27"/>
      <c r="M27"/>
      <c r="N27"/>
    </row>
    <row r="28" spans="1:14" x14ac:dyDescent="0.35">
      <c r="A28" s="17" t="s">
        <v>174</v>
      </c>
      <c r="B28" s="34">
        <v>59</v>
      </c>
      <c r="C28"/>
      <c r="L28"/>
      <c r="M28"/>
      <c r="N28"/>
    </row>
    <row r="29" spans="1:14" x14ac:dyDescent="0.35">
      <c r="A29" s="17" t="s">
        <v>175</v>
      </c>
      <c r="B29" s="34">
        <v>25</v>
      </c>
      <c r="C29"/>
      <c r="L29"/>
      <c r="M29"/>
      <c r="N29"/>
    </row>
    <row r="30" spans="1:14" x14ac:dyDescent="0.35">
      <c r="A30" s="17" t="s">
        <v>173</v>
      </c>
      <c r="B30" s="34">
        <v>24</v>
      </c>
      <c r="C30"/>
      <c r="L30"/>
      <c r="M30"/>
      <c r="N30"/>
    </row>
    <row r="31" spans="1:14" x14ac:dyDescent="0.35">
      <c r="A31" s="17" t="s">
        <v>309</v>
      </c>
      <c r="B31" s="34">
        <v>150</v>
      </c>
      <c r="C31"/>
      <c r="L31"/>
      <c r="M31"/>
      <c r="N31"/>
    </row>
    <row r="32" spans="1:14" x14ac:dyDescent="0.35">
      <c r="L32"/>
      <c r="M32"/>
      <c r="N32"/>
    </row>
  </sheetData>
  <conditionalFormatting pivot="1" sqref="B26:B30">
    <cfRule type="dataBar" priority="7">
      <dataBar>
        <cfvo type="min"/>
        <cfvo type="max"/>
        <color rgb="FFFF555A"/>
      </dataBar>
      <extLst>
        <ext xmlns:x14="http://schemas.microsoft.com/office/spreadsheetml/2009/9/main" uri="{B025F937-C7B1-47D3-B67F-A62EFF666E3E}">
          <x14:id>{8521D393-4B7F-480F-A0A7-41B1ADE844C7}</x14:id>
        </ext>
      </extLst>
    </cfRule>
  </conditionalFormatting>
  <conditionalFormatting pivot="1" sqref="B19:G22">
    <cfRule type="dataBar" priority="6">
      <dataBar>
        <cfvo type="min"/>
        <cfvo type="max"/>
        <color rgb="FF63C384"/>
      </dataBar>
      <extLst>
        <ext xmlns:x14="http://schemas.microsoft.com/office/spreadsheetml/2009/9/main" uri="{B025F937-C7B1-47D3-B67F-A62EFF666E3E}">
          <x14:id>{54B1E115-A893-4586-BE4E-E9EDFC23C683}</x14:id>
        </ext>
      </extLst>
    </cfRule>
  </conditionalFormatting>
  <conditionalFormatting pivot="1" sqref="B10:B14">
    <cfRule type="dataBar" priority="5">
      <dataBar>
        <cfvo type="min"/>
        <cfvo type="max"/>
        <color rgb="FFD6007B"/>
      </dataBar>
      <extLst>
        <ext xmlns:x14="http://schemas.microsoft.com/office/spreadsheetml/2009/9/main" uri="{B025F937-C7B1-47D3-B67F-A62EFF666E3E}">
          <x14:id>{E5C2D48A-D84D-42B8-954B-89BDEAF2AF23}</x14:id>
        </ext>
      </extLst>
    </cfRule>
  </conditionalFormatting>
  <conditionalFormatting pivot="1" sqref="B2:B6">
    <cfRule type="dataBar" priority="4">
      <dataBar>
        <cfvo type="min"/>
        <cfvo type="max"/>
        <color rgb="FFFFB628"/>
      </dataBar>
      <extLst>
        <ext xmlns:x14="http://schemas.microsoft.com/office/spreadsheetml/2009/9/main" uri="{B025F937-C7B1-47D3-B67F-A62EFF666E3E}">
          <x14:id>{E8AE3A7D-267A-40E7-B65B-210443E8F0DB}</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8521D393-4B7F-480F-A0A7-41B1ADE844C7}">
            <x14:dataBar minLength="0" maxLength="100" border="1" negativeBarBorderColorSameAsPositive="0">
              <x14:cfvo type="autoMin"/>
              <x14:cfvo type="autoMax"/>
              <x14:borderColor rgb="FFFF555A"/>
              <x14:negativeFillColor rgb="FFFF0000"/>
              <x14:negativeBorderColor rgb="FFFF0000"/>
              <x14:axisColor rgb="FF000000"/>
            </x14:dataBar>
          </x14:cfRule>
          <xm:sqref>B26:B30</xm:sqref>
        </x14:conditionalFormatting>
        <x14:conditionalFormatting xmlns:xm="http://schemas.microsoft.com/office/excel/2006/main" pivot="1">
          <x14:cfRule type="dataBar" id="{54B1E115-A893-4586-BE4E-E9EDFC23C683}">
            <x14:dataBar minLength="0" maxLength="100" border="1" negativeBarBorderColorSameAsPositive="0">
              <x14:cfvo type="autoMin"/>
              <x14:cfvo type="autoMax"/>
              <x14:borderColor rgb="FF63C384"/>
              <x14:negativeFillColor rgb="FFFF0000"/>
              <x14:negativeBorderColor rgb="FFFF0000"/>
              <x14:axisColor rgb="FF000000"/>
            </x14:dataBar>
          </x14:cfRule>
          <xm:sqref>B19:G22</xm:sqref>
        </x14:conditionalFormatting>
        <x14:conditionalFormatting xmlns:xm="http://schemas.microsoft.com/office/excel/2006/main" pivot="1">
          <x14:cfRule type="dataBar" id="{E5C2D48A-D84D-42B8-954B-89BDEAF2AF23}">
            <x14:dataBar minLength="0" maxLength="100" border="1" negativeBarBorderColorSameAsPositive="0">
              <x14:cfvo type="autoMin"/>
              <x14:cfvo type="autoMax"/>
              <x14:borderColor rgb="FFD6007B"/>
              <x14:negativeFillColor rgb="FFFF0000"/>
              <x14:negativeBorderColor rgb="FFFF0000"/>
              <x14:axisColor rgb="FF000000"/>
            </x14:dataBar>
          </x14:cfRule>
          <xm:sqref>B10:B14</xm:sqref>
        </x14:conditionalFormatting>
        <x14:conditionalFormatting xmlns:xm="http://schemas.microsoft.com/office/excel/2006/main" pivot="1">
          <x14:cfRule type="dataBar" id="{E8AE3A7D-267A-40E7-B65B-210443E8F0DB}">
            <x14:dataBar minLength="0" maxLength="100" border="1" negativeBarBorderColorSameAsPositive="0">
              <x14:cfvo type="autoMin"/>
              <x14:cfvo type="autoMax"/>
              <x14:borderColor rgb="FFFFB628"/>
              <x14:negativeFillColor rgb="FFFF0000"/>
              <x14:negativeBorderColor rgb="FFFF0000"/>
              <x14:axisColor rgb="FF000000"/>
            </x14:dataBar>
          </x14:cfRule>
          <xm:sqref>B2:B6</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499D0-E9C1-4042-89B1-BBC5D70A869E}">
  <dimension ref="A1"/>
  <sheetViews>
    <sheetView tabSelected="1" workbookViewId="0">
      <selection activeCell="R16" sqref="R16"/>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A930E-0149-46F5-94A1-94F25C1221B7}">
  <dimension ref="A1:E16"/>
  <sheetViews>
    <sheetView workbookViewId="0">
      <selection activeCell="C6" sqref="C6"/>
    </sheetView>
  </sheetViews>
  <sheetFormatPr defaultRowHeight="14.5" x14ac:dyDescent="0.35"/>
  <cols>
    <col min="1" max="1" width="28.54296875" customWidth="1"/>
    <col min="2" max="2" width="11.26953125" bestFit="1" customWidth="1"/>
    <col min="3" max="3" width="11.453125" bestFit="1" customWidth="1"/>
    <col min="4" max="4" width="5.81640625" bestFit="1" customWidth="1"/>
    <col min="5" max="5" width="17.54296875" bestFit="1" customWidth="1"/>
  </cols>
  <sheetData>
    <row r="1" spans="1:5" x14ac:dyDescent="0.35">
      <c r="A1" s="38" t="s">
        <v>289</v>
      </c>
      <c r="B1" s="38"/>
      <c r="C1" s="38"/>
      <c r="D1" s="38"/>
      <c r="E1" s="38"/>
    </row>
    <row r="3" spans="1:5" ht="14.5" customHeight="1" x14ac:dyDescent="0.35">
      <c r="A3" s="35" t="s">
        <v>291</v>
      </c>
      <c r="B3" s="15" t="s">
        <v>0</v>
      </c>
      <c r="C3" s="15" t="s">
        <v>1</v>
      </c>
      <c r="D3" s="15" t="s">
        <v>4</v>
      </c>
      <c r="E3" s="15" t="s">
        <v>6</v>
      </c>
    </row>
    <row r="4" spans="1:5" x14ac:dyDescent="0.35">
      <c r="A4" s="36"/>
      <c r="B4" s="16" t="s">
        <v>158</v>
      </c>
      <c r="C4" s="16" t="s">
        <v>163</v>
      </c>
      <c r="D4" s="17">
        <v>98475</v>
      </c>
      <c r="E4" s="17">
        <v>5</v>
      </c>
    </row>
    <row r="5" spans="1:5" x14ac:dyDescent="0.35">
      <c r="A5" s="36"/>
      <c r="B5" s="18" t="s">
        <v>71</v>
      </c>
      <c r="C5" s="18" t="s">
        <v>164</v>
      </c>
      <c r="D5" s="17">
        <v>97981</v>
      </c>
      <c r="E5" s="17">
        <v>5</v>
      </c>
    </row>
    <row r="6" spans="1:5" x14ac:dyDescent="0.35">
      <c r="A6" s="36"/>
      <c r="B6" s="18" t="s">
        <v>21</v>
      </c>
      <c r="C6" s="18" t="s">
        <v>165</v>
      </c>
      <c r="D6" s="17">
        <v>96418</v>
      </c>
      <c r="E6" s="17">
        <v>5</v>
      </c>
    </row>
    <row r="7" spans="1:5" x14ac:dyDescent="0.35">
      <c r="A7" s="36"/>
      <c r="B7" s="16" t="s">
        <v>38</v>
      </c>
      <c r="C7" s="16" t="s">
        <v>165</v>
      </c>
      <c r="D7" s="17">
        <v>92959</v>
      </c>
      <c r="E7" s="17">
        <v>5</v>
      </c>
    </row>
    <row r="8" spans="1:5" x14ac:dyDescent="0.35">
      <c r="A8" s="37"/>
      <c r="B8" s="16" t="s">
        <v>20</v>
      </c>
      <c r="C8" s="16" t="s">
        <v>163</v>
      </c>
      <c r="D8" s="17">
        <v>91180</v>
      </c>
      <c r="E8" s="17">
        <v>5</v>
      </c>
    </row>
    <row r="11" spans="1:5" ht="14.5" customHeight="1" x14ac:dyDescent="0.35">
      <c r="A11" s="35" t="s">
        <v>290</v>
      </c>
      <c r="B11" s="21" t="s">
        <v>0</v>
      </c>
      <c r="C11" s="21" t="s">
        <v>1</v>
      </c>
      <c r="D11" s="21" t="s">
        <v>4</v>
      </c>
      <c r="E11" s="21" t="s">
        <v>6</v>
      </c>
    </row>
    <row r="12" spans="1:5" x14ac:dyDescent="0.35">
      <c r="A12" s="36"/>
      <c r="B12" s="20" t="s">
        <v>61</v>
      </c>
      <c r="C12" s="20" t="s">
        <v>159</v>
      </c>
      <c r="D12" s="1">
        <v>30280</v>
      </c>
      <c r="E12" s="1">
        <v>1</v>
      </c>
    </row>
    <row r="13" spans="1:5" x14ac:dyDescent="0.35">
      <c r="A13" s="36"/>
      <c r="B13" s="19" t="s">
        <v>137</v>
      </c>
      <c r="C13" s="19" t="s">
        <v>164</v>
      </c>
      <c r="D13" s="1">
        <v>30402</v>
      </c>
      <c r="E13" s="1">
        <v>1</v>
      </c>
    </row>
    <row r="14" spans="1:5" x14ac:dyDescent="0.35">
      <c r="A14" s="36"/>
      <c r="B14" s="19" t="s">
        <v>26</v>
      </c>
      <c r="C14" s="19" t="s">
        <v>162</v>
      </c>
      <c r="D14" s="1">
        <v>41341</v>
      </c>
      <c r="E14" s="1">
        <v>1</v>
      </c>
    </row>
    <row r="15" spans="1:5" x14ac:dyDescent="0.35">
      <c r="A15" s="36"/>
      <c r="B15" s="19" t="s">
        <v>91</v>
      </c>
      <c r="C15" s="20" t="s">
        <v>159</v>
      </c>
      <c r="D15" s="1">
        <v>42262</v>
      </c>
      <c r="E15" s="1">
        <v>1</v>
      </c>
    </row>
    <row r="16" spans="1:5" x14ac:dyDescent="0.35">
      <c r="A16" s="37"/>
      <c r="B16" s="20" t="s">
        <v>122</v>
      </c>
      <c r="C16" s="20" t="s">
        <v>160</v>
      </c>
      <c r="D16" s="1">
        <v>47653</v>
      </c>
      <c r="E16" s="1">
        <v>1</v>
      </c>
    </row>
  </sheetData>
  <mergeCells count="3">
    <mergeCell ref="A11:A16"/>
    <mergeCell ref="A1:E1"/>
    <mergeCell ref="A3:A8"/>
  </mergeCells>
  <conditionalFormatting sqref="E3">
    <cfRule type="dataBar" priority="4">
      <dataBar>
        <cfvo type="min"/>
        <cfvo type="max"/>
        <color rgb="FF63C384"/>
      </dataBar>
      <extLst>
        <ext xmlns:x14="http://schemas.microsoft.com/office/spreadsheetml/2009/9/main" uri="{B025F937-C7B1-47D3-B67F-A62EFF666E3E}">
          <x14:id>{925B95D6-7FD8-4937-8F70-046A34625136}</x14:id>
        </ext>
      </extLst>
    </cfRule>
  </conditionalFormatting>
  <conditionalFormatting sqref="E11">
    <cfRule type="dataBar" priority="3">
      <dataBar>
        <cfvo type="min"/>
        <cfvo type="max"/>
        <color rgb="FF63C384"/>
      </dataBar>
      <extLst>
        <ext xmlns:x14="http://schemas.microsoft.com/office/spreadsheetml/2009/9/main" uri="{B025F937-C7B1-47D3-B67F-A62EFF666E3E}">
          <x14:id>{24CA0AD2-1FA2-4CFD-9E79-58FD420423BC}</x14:id>
        </ext>
      </extLst>
    </cfRule>
  </conditionalFormatting>
  <conditionalFormatting sqref="D4:D8">
    <cfRule type="dataBar" priority="2">
      <dataBar>
        <cfvo type="min"/>
        <cfvo type="max"/>
        <color rgb="FF63C384"/>
      </dataBar>
      <extLst>
        <ext xmlns:x14="http://schemas.microsoft.com/office/spreadsheetml/2009/9/main" uri="{B025F937-C7B1-47D3-B67F-A62EFF666E3E}">
          <x14:id>{D09BD054-2359-4F72-8F6E-77136B21BDA6}</x14:id>
        </ext>
      </extLst>
    </cfRule>
  </conditionalFormatting>
  <conditionalFormatting sqref="D12:D16">
    <cfRule type="dataBar" priority="1">
      <dataBar>
        <cfvo type="min"/>
        <cfvo type="max"/>
        <color rgb="FFFFB628"/>
      </dataBar>
      <extLst>
        <ext xmlns:x14="http://schemas.microsoft.com/office/spreadsheetml/2009/9/main" uri="{B025F937-C7B1-47D3-B67F-A62EFF666E3E}">
          <x14:id>{E323211E-1A85-46E9-955D-3C71C0DDA974}</x14:id>
        </ext>
      </extLst>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dataBar" id="{925B95D6-7FD8-4937-8F70-046A34625136}">
            <x14:dataBar minLength="0" maxLength="100" border="1" negativeBarBorderColorSameAsPositive="0">
              <x14:cfvo type="autoMin"/>
              <x14:cfvo type="autoMax"/>
              <x14:borderColor rgb="FF63C384"/>
              <x14:negativeFillColor rgb="FFFF0000"/>
              <x14:negativeBorderColor rgb="FFFF0000"/>
              <x14:axisColor rgb="FF000000"/>
            </x14:dataBar>
          </x14:cfRule>
          <xm:sqref>E3</xm:sqref>
        </x14:conditionalFormatting>
        <x14:conditionalFormatting xmlns:xm="http://schemas.microsoft.com/office/excel/2006/main">
          <x14:cfRule type="dataBar" id="{24CA0AD2-1FA2-4CFD-9E79-58FD420423BC}">
            <x14:dataBar minLength="0" maxLength="100" border="1" negativeBarBorderColorSameAsPositive="0">
              <x14:cfvo type="autoMin"/>
              <x14:cfvo type="autoMax"/>
              <x14:borderColor rgb="FF63C384"/>
              <x14:negativeFillColor rgb="FFFF0000"/>
              <x14:negativeBorderColor rgb="FFFF0000"/>
              <x14:axisColor rgb="FF000000"/>
            </x14:dataBar>
          </x14:cfRule>
          <xm:sqref>E11</xm:sqref>
        </x14:conditionalFormatting>
        <x14:conditionalFormatting xmlns:xm="http://schemas.microsoft.com/office/excel/2006/main">
          <x14:cfRule type="dataBar" id="{D09BD054-2359-4F72-8F6E-77136B21BDA6}">
            <x14:dataBar minLength="0" maxLength="100" border="1" negativeBarBorderColorSameAsPositive="0">
              <x14:cfvo type="autoMin"/>
              <x14:cfvo type="autoMax"/>
              <x14:borderColor rgb="FF63C384"/>
              <x14:negativeFillColor rgb="FFFF0000"/>
              <x14:negativeBorderColor rgb="FFFF0000"/>
              <x14:axisColor rgb="FF000000"/>
            </x14:dataBar>
          </x14:cfRule>
          <xm:sqref>D4:D8</xm:sqref>
        </x14:conditionalFormatting>
        <x14:conditionalFormatting xmlns:xm="http://schemas.microsoft.com/office/excel/2006/main">
          <x14:cfRule type="dataBar" id="{E323211E-1A85-46E9-955D-3C71C0DDA974}">
            <x14:dataBar minLength="0" maxLength="100" gradient="0">
              <x14:cfvo type="autoMin"/>
              <x14:cfvo type="autoMax"/>
              <x14:negativeFillColor rgb="FFFF0000"/>
              <x14:axisColor rgb="FF000000"/>
            </x14:dataBar>
          </x14:cfRule>
          <xm:sqref>D12:D16</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9EAE87F-4648-4506-A988-3756204483E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Sheet 2</vt:lpstr>
      <vt:lpstr>Cleaned data</vt:lpstr>
      <vt:lpstr>Pivot table</vt:lpstr>
      <vt:lpstr>Dashboard</vt:lpstr>
      <vt:lpstr>Mini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Balamurugan P</cp:lastModifiedBy>
  <dcterms:created xsi:type="dcterms:W3CDTF">2025-05-31T18:11:07Z</dcterms:created>
  <dcterms:modified xsi:type="dcterms:W3CDTF">2025-11-29T12:21:43Z</dcterms:modified>
</cp:coreProperties>
</file>