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6\"/>
    </mc:Choice>
  </mc:AlternateContent>
  <xr:revisionPtr revIDLastSave="0" documentId="13_ncr:1_{FA1C270F-7361-4D08-8CC0-52CD275A2BA7}" xr6:coauthVersionLast="36" xr6:coauthVersionMax="36" xr10:uidLastSave="{00000000-0000-0000-0000-000000000000}"/>
  <bookViews>
    <workbookView xWindow="240" yWindow="20" windowWidth="16100" windowHeight="9660" activeTab="2" xr2:uid="{00000000-000D-0000-FFFF-FFFF00000000}"/>
  </bookViews>
  <sheets>
    <sheet name="Sheet1" sheetId="1" r:id="rId1"/>
    <sheet name="Sheet 2" sheetId="3" r:id="rId2"/>
    <sheet name="Cleaned data" sheetId="4" r:id="rId3"/>
  </sheets>
  <definedNames>
    <definedName name="_xlnm._FilterDatabase" localSheetId="1" hidden="1">'Sheet 2'!$A$1:$I$151</definedName>
    <definedName name="_xlnm._FilterDatabase" localSheetId="0" hidden="1">Sheet1!$A$1:$I$151</definedName>
    <definedName name="ExternalData_1" localSheetId="2" hidden="1">'Cleaned data'!$A$1:$I$151</definedName>
  </definedNames>
  <calcPr calcId="191029"/>
</workbook>
</file>

<file path=xl/calcChain.xml><?xml version="1.0" encoding="utf-8"?>
<calcChain xmlns="http://schemas.openxmlformats.org/spreadsheetml/2006/main">
  <c r="L2" i="4" l="1"/>
  <c r="L3" i="4"/>
  <c r="M3" i="4" s="1"/>
  <c r="L4" i="4"/>
  <c r="L5" i="4"/>
  <c r="M5" i="4" s="1"/>
  <c r="L6" i="4"/>
  <c r="L7" i="4"/>
  <c r="M7" i="4" s="1"/>
  <c r="L8" i="4"/>
  <c r="M8" i="4" s="1"/>
  <c r="L9" i="4"/>
  <c r="M9" i="4" s="1"/>
  <c r="L10" i="4"/>
  <c r="L11" i="4"/>
  <c r="M11" i="4" s="1"/>
  <c r="L12" i="4"/>
  <c r="L13" i="4"/>
  <c r="M13" i="4" s="1"/>
  <c r="L14" i="4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L43" i="4"/>
  <c r="M43" i="4" s="1"/>
  <c r="L44" i="4"/>
  <c r="M44" i="4" s="1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L51" i="4"/>
  <c r="M51" i="4" s="1"/>
  <c r="L52" i="4"/>
  <c r="M52" i="4" s="1"/>
  <c r="L53" i="4"/>
  <c r="M53" i="4" s="1"/>
  <c r="L54" i="4"/>
  <c r="M54" i="4" s="1"/>
  <c r="L55" i="4"/>
  <c r="M55" i="4" s="1"/>
  <c r="L56" i="4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L65" i="4"/>
  <c r="M65" i="4" s="1"/>
  <c r="L66" i="4"/>
  <c r="M66" i="4" s="1"/>
  <c r="L67" i="4"/>
  <c r="M67" i="4" s="1"/>
  <c r="L68" i="4"/>
  <c r="M68" i="4" s="1"/>
  <c r="L69" i="4"/>
  <c r="M69" i="4" s="1"/>
  <c r="L70" i="4"/>
  <c r="L71" i="4"/>
  <c r="M71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L85" i="4"/>
  <c r="M85" i="4" s="1"/>
  <c r="L86" i="4"/>
  <c r="M86" i="4" s="1"/>
  <c r="L87" i="4"/>
  <c r="M87" i="4" s="1"/>
  <c r="L88" i="4"/>
  <c r="M88" i="4" s="1"/>
  <c r="L89" i="4"/>
  <c r="M89" i="4" s="1"/>
  <c r="L90" i="4"/>
  <c r="M90" i="4" s="1"/>
  <c r="L91" i="4"/>
  <c r="M91" i="4" s="1"/>
  <c r="L92" i="4"/>
  <c r="M92" i="4" s="1"/>
  <c r="L93" i="4"/>
  <c r="M93" i="4" s="1"/>
  <c r="L94" i="4"/>
  <c r="M94" i="4" s="1"/>
  <c r="L95" i="4"/>
  <c r="M95" i="4" s="1"/>
  <c r="L96" i="4"/>
  <c r="M96" i="4" s="1"/>
  <c r="L97" i="4"/>
  <c r="M97" i="4" s="1"/>
  <c r="L98" i="4"/>
  <c r="M98" i="4" s="1"/>
  <c r="L99" i="4"/>
  <c r="M99" i="4" s="1"/>
  <c r="L100" i="4"/>
  <c r="M100" i="4" s="1"/>
  <c r="L101" i="4"/>
  <c r="M101" i="4" s="1"/>
  <c r="L102" i="4"/>
  <c r="M102" i="4" s="1"/>
  <c r="L103" i="4"/>
  <c r="M103" i="4" s="1"/>
  <c r="L104" i="4"/>
  <c r="M104" i="4" s="1"/>
  <c r="L105" i="4"/>
  <c r="M105" i="4" s="1"/>
  <c r="L106" i="4"/>
  <c r="M106" i="4" s="1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M116" i="4" s="1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M146" i="4" s="1"/>
  <c r="L147" i="4"/>
  <c r="M147" i="4" s="1"/>
  <c r="L148" i="4"/>
  <c r="M148" i="4" s="1"/>
  <c r="L149" i="4"/>
  <c r="M149" i="4" s="1"/>
  <c r="L150" i="4"/>
  <c r="M150" i="4" s="1"/>
  <c r="L151" i="4"/>
  <c r="M151" i="4" s="1"/>
  <c r="M2" i="4"/>
  <c r="M4" i="4"/>
  <c r="M6" i="4"/>
  <c r="M10" i="4"/>
  <c r="M12" i="4"/>
  <c r="M14" i="4"/>
  <c r="M34" i="4"/>
  <c r="M42" i="4"/>
  <c r="M56" i="4"/>
  <c r="M64" i="4"/>
  <c r="M70" i="4"/>
  <c r="M84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4EE20-28E7-45F4-8192-9D443821D11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<sst xmlns="http://schemas.openxmlformats.org/spreadsheetml/2006/main" count="2666" uniqueCount="286">
  <si>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</si>
  <si>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</si>
  <si>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</si>
  <si>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</si>
  <si>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</si>
  <si>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</si>
  <si>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</si>
  <si>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</si>
  <si>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</si>
  <si>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</si>
  <si>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</si>
  <si>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</si>
  <si>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</si>
  <si>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</si>
  <si>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</si>
  <si>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</si>
  <si>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</si>
  <si>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</si>
  <si>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</si>
  <si>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</si>
  <si>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</si>
  <si>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</si>
  <si>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</si>
  <si>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</si>
  <si>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</si>
  <si>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</si>
  <si>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</si>
  <si>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</si>
  <si>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</si>
  <si>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</si>
  <si>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</si>
  <si>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</si>
  <si>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</si>
  <si>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</si>
  <si>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</si>
  <si>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</si>
  <si>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</si>
  <si>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</si>
  <si>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</si>
  <si>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</si>
  <si>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</si>
  <si>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</si>
  <si>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</si>
  <si>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</si>
  <si>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</si>
  <si>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</si>
  <si>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</si>
  <si>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</si>
  <si>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</si>
  <si>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</si>
  <si>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</si>
  <si>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</si>
  <si>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</si>
  <si>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</si>
  <si>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</si>
  <si>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</si>
  <si>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</si>
  <si>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</si>
  <si>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</si>
  <si>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</si>
  <si>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</si>
  <si>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</si>
  <si>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</si>
  <si>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</si>
  <si>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</si>
  <si>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</si>
  <si>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</si>
  <si>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</si>
  <si>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</si>
  <si>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</si>
  <si>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</si>
  <si>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</si>
  <si>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</si>
  <si>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</si>
  <si>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</si>
  <si>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</si>
  <si>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</si>
  <si>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</si>
  <si>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</si>
  <si>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</si>
  <si>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</si>
  <si>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</si>
  <si>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</si>
  <si>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</si>
  <si>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</si>
  <si>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</si>
  <si>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</si>
  <si>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</si>
  <si>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</si>
  <si>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</si>
  <si>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</si>
  <si>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</si>
  <si>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</si>
  <si>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</si>
  <si>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</si>
  <si>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</si>
  <si>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</si>
  <si>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</si>
  <si>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</si>
  <si>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</si>
  <si>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</si>
  <si>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</si>
  <si>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</si>
  <si>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</si>
  <si>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</si>
  <si>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</si>
  <si>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</si>
  <si>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</si>
  <si>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</si>
  <si>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</si>
  <si>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</si>
  <si>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</si>
  <si>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</si>
  <si>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</si>
  <si>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</si>
  <si>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</si>
  <si>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</si>
  <si>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</si>
  <si>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</si>
  <si>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</si>
  <si>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</si>
  <si>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</si>
  <si>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</si>
  <si>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</si>
  <si>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</si>
  <si>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</si>
  <si>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</si>
  <si>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</si>
  <si>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</si>
  <si>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</si>
  <si>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</si>
  <si>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</si>
  <si>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</si>
  <si>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</si>
  <si>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</si>
  <si>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</si>
  <si>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</si>
  <si>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</si>
  <si>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</si>
  <si>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</si>
  <si>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</si>
  <si>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</si>
  <si>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</si>
  <si>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</si>
  <si>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</si>
  <si>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</si>
  <si>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</si>
  <si>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</si>
  <si>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</si>
  <si>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</si>
  <si>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</si>
  <si>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</si>
  <si>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</si>
  <si>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</si>
  <si>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</si>
  <si>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</si>
  <si>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</si>
  <si>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</si>
  <si>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</si>
  <si>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</si>
  <si>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</si>
  <si>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</si>
  <si>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</si>
  <si>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</si>
  <si>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</si>
  <si>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</si>
  <si>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</si>
  <si>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</si>
  <si>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</si>
  <si>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</si>
  <si>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</si>
  <si>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</si>
  <si>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</si>
  <si>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</si>
  <si>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</si>
  <si>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</si>
  <si>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</si>
  <si>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</si>
  <si>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</si>
  <si>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</si>
  <si>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</si>
  <si>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</si>
  <si>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</si>
  <si>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</si>
  <si>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</si>
  <si>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</si>
  <si>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</si>
  <si>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</si>
  <si>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</si>
  <si>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</si>
  <si>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</si>
  <si>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</si>
  <si>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</si>
  <si>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</si>
  <si>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</si>
  <si>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</si>
  <si>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</si>
  <si>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</si>
  <si>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</si>
  <si>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</si>
  <si>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</si>
  <si>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</si>
  <si>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</si>
  <si>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</si>
  <si>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</si>
  <si>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</si>
  <si>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</si>
  <si>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</si>
  <si>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</si>
  <si>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</si>
  <si>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</si>
  <si>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</si>
  <si>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</si>
  <si>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</si>
  <si>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</si>
  <si>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</si>
  <si>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</si>
  <si>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</si>
  <si>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</si>
  <si>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</si>
  <si>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</si>
  <si>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</si>
  <si>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</si>
  <si>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</si>
  <si>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</si>
  <si>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</si>
  <si>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</si>
  <si>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</si>
  <si>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</si>
  <si>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</si>
  <si>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</si>
  <si>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</si>
  <si>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</si>
  <si>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</si>
  <si>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</si>
  <si>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</si>
  <si>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</si>
  <si>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</si>
  <si>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</si>
  <si>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</si>
  <si>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</si>
  <si>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</si>
  <si>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</si>
  <si>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</si>
  <si>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</si>
  <si>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</si>
  <si>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</si>
  <si>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</si>
  <si>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</si>
  <si>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</si>
  <si>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</si>
  <si>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</si>
  <si>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</si>
  <si>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</si>
  <si>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</si>
  <si>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</si>
  <si>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</si>
  <si>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</si>
  <si>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</si>
  <si>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</si>
  <si>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</si>
  <si>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</si>
  <si>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</si>
  <si>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</si>
  <si>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</si>
  <si>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</si>
  <si>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</si>
  <si>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</si>
  <si>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</si>
  <si>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</si>
  <si>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</si>
  <si>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</si>
  <si>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</si>
  <si>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</si>
  <si>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</si>
  <si>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</si>
  <si>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</si>
  <si>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</si>
  <si>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</si>
  <si>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</si>
  <si>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</si>
  <si>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</si>
  <si>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Date of Joining2</t>
  </si>
  <si>
    <t>Performance Rating2</t>
  </si>
  <si>
    <t>Performance Rating22</t>
  </si>
  <si>
    <t>Gender2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</si>
</sst>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&quot;$&quot;#,##0"/>
    <numFmt numFmtId="169" formatCode="_(&quot;$&quot;* #,##0_);_(&quot;$&quot;* \(#,##0\);_(&quot;$&quot;* &quot;-&quot;??_);_(@_)"/>
    <numFmt numFmtId="171" formatCode="dd/mm/yyyy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165" fontId="0" fillId="0" borderId="0" xfId="0" applyNumberFormat="1"/>
    <xf numFmtId="165" fontId="2" fillId="3" borderId="0" xfId="0" applyNumberFormat="1" applyFont="1" applyFill="1"/>
    <xf numFmtId="169" fontId="0" fillId="0" borderId="0" xfId="1" applyNumberFormat="1" applyFont="1"/>
    <xf numFmtId="171" fontId="0" fillId="0" borderId="0" xfId="0" applyNumberFormat="1"/>
  </cellXfs>
  <cellStyles count="2">
    <cellStyle name="Currency" xfId="1" builtinId="4"/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171" formatCode="dd/mm/yyyy"/>
    </dxf>
    <dxf>
      <numFmt numFmtId="169" formatCode="_(&quot;$&quot;* #,##0_);_(&quot;$&quot;* \(#,##0\);_(&quot;$&quot;* &quot;-&quot;??_);_(@_)"/>
    </dxf>
    <dxf>
      <numFmt numFmtId="171" formatCode="dd/mm/yyyy"/>
    </dxf>
    <dxf>
      <numFmt numFmtId="165" formatCode="&quot;$&quot;#,##0"/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208FD-522F-4DD4-8879-96BAC1D6606A}" autoFormatId="16" applyNumberFormats="0" applyBorderFormats="0" applyFontFormats="0" applyPatternFormats="0" applyAlignmentFormats="0" applyWidthHeightFormats="0">
  <queryTableRefresh nextId="17" unboundColumnsRight="5">
    <queryTableFields count="14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33" dataDxfId="31" headerRowBorderDxfId="32" tableBorderDxfId="30" totalsRowBorderDxfId="29">
  <tableColumns count="9">
    <tableColumn id="1" xr3:uid="{F250159C-DCF3-44BE-9408-1B12EBAD8863}" name="Employee ID" dataDxfId="28"/>
    <tableColumn id="2" xr3:uid="{D4E6FF39-DE9E-4121-AC45-7E0117E766DC}" name="Name" dataDxfId="27"/>
    <tableColumn id="3" xr3:uid="{F1F1DBCF-F3DB-4F82-AE0C-0E34CC6C8F25}" name="Department" dataDxfId="26"/>
    <tableColumn id="4" xr3:uid="{875E957B-AC13-4222-AE92-BCA1319865A4}" name="Country" dataDxfId="25"/>
    <tableColumn id="5" xr3:uid="{0371AE34-0A1F-4B9E-915F-603214C82693}" name="Salary" dataDxfId="24"/>
    <tableColumn id="6" xr3:uid="{48790BFA-79CE-409D-BC08-9394BAD3381C}" name="Date of Joining" dataDxfId="23"/>
    <tableColumn id="7" xr3:uid="{EFDB86DE-35F4-46AE-8609-781A8F8C184A}" name="Performance Rating" dataDxfId="22"/>
    <tableColumn id="8" xr3:uid="{69B44A31-D6B7-43D3-A57C-9AB737B0DCF7}" name="Gender" dataDxfId="21"/>
    <tableColumn id="9" xr3:uid="{FCD3118C-FD99-4027-99D3-49AC8907B94F}" name="Email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I151" totalsRowShown="0" headerRowDxfId="19" headerRowBorderDxfId="18" tableBorderDxfId="17" totalsRowBorderDxfId="16">
  <tableColumns count="9">
    <tableColumn id="1" xr3:uid="{7AFFCD28-3D68-43F2-8068-D02C2415080D}" name="Employee ID" dataDxfId="15"/>
    <tableColumn id="2" xr3:uid="{4D098C35-7C83-4C0B-8649-DF6C077F7516}" name="Name" dataDxfId="14"/>
    <tableColumn id="3" xr3:uid="{88123662-7EE0-4EB0-957C-B9702099B74F}" name="Department" dataDxfId="13"/>
    <tableColumn id="4" xr3:uid="{58543BBA-1381-470A-8E62-7E1AC182556E}" name="Country" dataDxfId="12"/>
    <tableColumn id="5" xr3:uid="{DB9EDD89-EF3B-4086-8FE2-74BCCD227C2D}" name="Salary" dataDxfId="11"/>
    <tableColumn id="6" xr3:uid="{6DFE3279-F060-4B27-8C9E-FEF5C863939B}" name="Date of Joining" dataDxfId="10"/>
    <tableColumn id="7" xr3:uid="{A08A414A-8AC4-460B-A930-79D8B4AC62BC}" name="Performance Rating" dataDxfId="9"/>
    <tableColumn id="8" xr3:uid="{59603019-4852-41DC-9991-F31A2BC61C7E}" name="Gender" dataDxfId="8"/>
    <tableColumn id="9" xr3:uid="{4A5A1D14-EB1C-48AA-ACB7-E066203516A6}" name="Email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D7892-B1BA-4794-87B9-CB6943C4A335}" name="Table1_2" displayName="Table1_2" ref="A1:N151" tableType="queryTable" totalsRowShown="0">
  <tableColumns count="14">
    <tableColumn id="1" xr3:uid="{0842ABB7-AF5B-401F-9775-BDF9BCC47C1B}" uniqueName="1" name="Employee ID" queryTableFieldId="1"/>
    <tableColumn id="2" xr3:uid="{949C528B-CDEB-4DBE-9EA3-02A92F7E1C58}" uniqueName="2" name="Name" queryTableFieldId="2"/>
    <tableColumn id="3" xr3:uid="{589F6203-4BB5-4E75-B66A-284250920F07}" uniqueName="3" name="Department" queryTableFieldId="3"/>
    <tableColumn id="4" xr3:uid="{CB206754-51F1-4703-9B17-301194C871AD}" uniqueName="4" name="Country" queryTableFieldId="4"/>
    <tableColumn id="5" xr3:uid="{89CE59A8-ABF6-4594-98AA-FEB69245BE52}" uniqueName="5" name="Salary" queryTableFieldId="5" dataDxfId="6"/>
    <tableColumn id="6" xr3:uid="{EE2DAA2F-E617-4999-BF99-0825BCD3BE2E}" uniqueName="6" name="Date of Joining" queryTableFieldId="6" dataDxfId="5"/>
    <tableColumn id="7" xr3:uid="{EBA5F4D1-01E1-442F-A370-25E8835A9498}" uniqueName="7" name="Performance Rating" queryTableFieldId="7"/>
    <tableColumn id="8" xr3:uid="{29ED7F5D-8862-4565-8319-78621016F228}" uniqueName="8" name="Gender" queryTableFieldId="8"/>
    <tableColumn id="9" xr3:uid="{29C1AF3C-7CA8-47AF-850E-FFE51269E82C}" uniqueName="9" name="Email" queryTableFieldId="9"/>
    <tableColumn id="10" xr3:uid="{7B070A67-F265-4BE0-ADAF-4B9B73D81893}" uniqueName="10" name="Salary2" queryTableFieldId="10" dataDxfId="4" dataCellStyle="Currency">
      <calculatedColumnFormula>IF(Table1_2[[#This Row],[Salary]]="N/A",AVERAGEIF(Table1_2[Department],Table1_2[[#This Row],[Department]],Table1_2[Salary]),Table1_2[[#This Row],[Salary]])</calculatedColumnFormula>
    </tableColumn>
    <tableColumn id="13" xr3:uid="{B3ED8A0E-1914-4F0A-A8AF-FDCCD36057DD}" uniqueName="13" name="Date of Joining2" queryTableFieldId="13" dataDxfId="3">
      <calculatedColumnFormula>IF(Table1_2[[#This Row],[Date of Joining]]="",AVERAGEIF(Table1_2[Department],Table1_2[[#This Row],[Department]],Table1_2[Date of Joining]),Table1_2[[#This Row],[Date of Joining]])</calculatedColumnFormula>
    </tableColumn>
    <tableColumn id="14" xr3:uid="{466203E1-6ECA-4076-84F5-115D41F080AC}" uniqueName="14" name="Performance Rating2" queryTableFieldId="14" dataDxfId="2">
      <calculatedColumnFormula>IF(Table1_2[[#This Row],[Performance Rating]]="",AVERAGEIF(Table1_2[Department],Table1_2[[#This Row],[Department]],Table1_2[Performance Rating]),Table1_2[[#This Row],[Performance Rating]])</calculatedColumnFormula>
    </tableColumn>
    <tableColumn id="15" xr3:uid="{E97443EC-0713-4A11-97AC-9652EC3E2487}" uniqueName="15" name="Performance Rating22" queryTableFieldId="15" dataDxfId="1">
      <calculatedColumnFormula>ROUND(Table1_2[[#This Row],[Performance Rating2]],0)</calculatedColumnFormula>
    </tableColumn>
    <tableColumn id="16" xr3:uid="{0B55B171-26ED-43DE-BD82-96F901AD06E6}" uniqueName="16" name="Gender2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E1" sqref="E1"/>
    </sheetView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</row>
    <row r="2" spans="1:9" x14ac:dyDescent="0.35">
      <c r="A2" s="4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35">
      <c r="A17" s="4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35">
      <c r="A32" s="4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35">
      <c r="A47" s="4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35">
      <c r="A62" s="4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35">
      <c r="A77" s="4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35">
      <c r="A92" s="4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35">
      <c r="A107" s="4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35">
      <c r="A122" s="4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35">
      <c r="A137" s="4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2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1.906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 t="s">
        <v>9</v>
      </c>
      <c r="B2" s="1" t="s">
        <v>178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4" t="s">
        <v>24</v>
      </c>
      <c r="B17" s="1" t="s">
        <v>178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4" t="s">
        <v>39</v>
      </c>
      <c r="B32" s="1" t="s">
        <v>178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4" t="s">
        <v>54</v>
      </c>
      <c r="B47" s="1" t="s">
        <v>178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4" t="s">
        <v>69</v>
      </c>
      <c r="B62" s="1" t="s">
        <v>178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4" t="s">
        <v>84</v>
      </c>
      <c r="B77" s="1" t="s">
        <v>178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4" t="s">
        <v>99</v>
      </c>
      <c r="B92" s="1" t="s">
        <v>178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4" t="s">
        <v>114</v>
      </c>
      <c r="B107" s="1" t="s">
        <v>178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4" t="s">
        <v>129</v>
      </c>
      <c r="B122" s="1" t="s">
        <v>178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4" t="s">
        <v>144</v>
      </c>
      <c r="B137" s="1" t="s">
        <v>178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0F8-6913-4AB0-9FC1-89FC88E4098D}">
  <dimension ref="A1:N151"/>
  <sheetViews>
    <sheetView tabSelected="1" workbookViewId="0"/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8.08984375" bestFit="1" customWidth="1"/>
    <col min="6" max="6" width="15.54296875" bestFit="1" customWidth="1"/>
    <col min="7" max="7" width="19.81640625" bestFit="1" customWidth="1"/>
    <col min="8" max="8" width="9.26953125" bestFit="1" customWidth="1"/>
    <col min="9" max="9" width="20.6328125" bestFit="1" customWidth="1"/>
    <col min="10" max="10" width="11.08984375" bestFit="1" customWidth="1"/>
    <col min="11" max="11" width="14.26953125" bestFit="1" customWidth="1"/>
    <col min="12" max="12" width="18.54296875" bestFit="1" customWidth="1"/>
    <col min="13" max="13" width="19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13" t="s">
        <v>4</v>
      </c>
      <c r="F1" t="s">
        <v>5</v>
      </c>
      <c r="G1" t="s">
        <v>6</v>
      </c>
      <c r="H1" t="s">
        <v>7</v>
      </c>
      <c r="I1" t="s">
        <v>8</v>
      </c>
      <c r="J1" s="14" t="s">
        <v>281</v>
      </c>
      <c r="K1" s="14" t="s">
        <v>282</v>
      </c>
      <c r="L1" s="14" t="s">
        <v>283</v>
      </c>
      <c r="M1" s="14" t="s">
        <v>284</v>
      </c>
      <c r="N1" s="14" t="s">
        <v>285</v>
      </c>
    </row>
    <row r="2" spans="1:14" x14ac:dyDescent="0.35">
      <c r="A2" t="s">
        <v>9</v>
      </c>
      <c r="B2" t="s">
        <v>178</v>
      </c>
      <c r="C2" t="s">
        <v>166</v>
      </c>
      <c r="D2" t="s">
        <v>174</v>
      </c>
      <c r="E2" s="13" t="s">
        <v>177</v>
      </c>
      <c r="F2" s="16"/>
      <c r="G2">
        <v>2</v>
      </c>
      <c r="H2" t="s">
        <v>178</v>
      </c>
      <c r="I2" t="s">
        <v>182</v>
      </c>
      <c r="J2" s="15">
        <f>IF(Table1_2[[#This Row],[Salary]]="N/A",AVERAGEIF(Table1_2[Department],Table1_2[[#This Row],[Department]],Table1_2[Salary]),Table1_2[[#This Row],[Salary]])</f>
        <v>65604.55</v>
      </c>
      <c r="K2" s="16">
        <f>IF(Table1_2[[#This Row],[Date of Joining]]="",AVERAGEIF(Table1_2[Department],Table1_2[[#This Row],[Department]],Table1_2[Date of Joining]),Table1_2[[#This Row],[Date of Joining]])</f>
        <v>42454.25</v>
      </c>
      <c r="L2">
        <f>IF(Table1_2[[#This Row],[Performance Rating]]="",AVERAGEIF(Table1_2[Department],Table1_2[[#This Row],[Department]],Table1_2[Performance Rating]),Table1_2[[#This Row],[Performance Rating]])</f>
        <v>2</v>
      </c>
      <c r="M2">
        <f>ROUND(Table1_2[[#This Row],[Performance Rating2]],0)</f>
        <v>2</v>
      </c>
      <c r="N2" t="s">
        <v>178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3">
        <v>54255</v>
      </c>
      <c r="F3" s="16">
        <v>42015</v>
      </c>
      <c r="G3">
        <v>1</v>
      </c>
      <c r="H3" t="s">
        <v>179</v>
      </c>
      <c r="I3" t="s">
        <v>183</v>
      </c>
      <c r="J3" s="15">
        <f>IF(Table1_2[[#This Row],[Salary]]="N/A",AVERAGEIF(Table1_2[Department],Table1_2[[#This Row],[Department]],Table1_2[Salary]),Table1_2[[#This Row],[Salary]])</f>
        <v>54255</v>
      </c>
      <c r="K3" s="16">
        <f>IF(Table1_2[[#This Row],[Date of Joining]]="",AVERAGEIF(Table1_2[Department],Table1_2[[#This Row],[Department]],Table1_2[Date of Joining]),Table1_2[[#This Row],[Date of Joining]])</f>
        <v>42015</v>
      </c>
      <c r="L3">
        <f>IF(Table1_2[[#This Row],[Performance Rating]]="",AVERAGEIF(Table1_2[Department],Table1_2[[#This Row],[Department]],Table1_2[Performance Rating]),Table1_2[[#This Row],[Performance Rating]])</f>
        <v>1</v>
      </c>
      <c r="M3">
        <f>ROUND(Table1_2[[#This Row],[Performance Rating2]],0)</f>
        <v>1</v>
      </c>
      <c r="N3" t="s">
        <v>179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3">
        <v>63184</v>
      </c>
      <c r="F4" s="16">
        <v>42022</v>
      </c>
      <c r="G4">
        <v>2</v>
      </c>
      <c r="I4" t="s">
        <v>184</v>
      </c>
      <c r="J4" s="15">
        <f>IF(Table1_2[[#This Row],[Salary]]="N/A",AVERAGEIF(Table1_2[Department],Table1_2[[#This Row],[Department]],Table1_2[Salary]),Table1_2[[#This Row],[Salary]])</f>
        <v>63184</v>
      </c>
      <c r="K4" s="16">
        <f>IF(Table1_2[[#This Row],[Date of Joining]]="",AVERAGEIF(Table1_2[Department],Table1_2[[#This Row],[Department]],Table1_2[Date of Joining]),Table1_2[[#This Row],[Date of Joining]])</f>
        <v>42022</v>
      </c>
      <c r="L4">
        <f>IF(Table1_2[[#This Row],[Performance Rating]]="",AVERAGEIF(Table1_2[Department],Table1_2[[#This Row],[Department]],Table1_2[Performance Rating]),Table1_2[[#This Row],[Performance Rating]])</f>
        <v>2</v>
      </c>
      <c r="M4">
        <f>ROUND(Table1_2[[#This Row],[Performance Rating2]],0)</f>
        <v>2</v>
      </c>
      <c r="N4" t="s">
        <v>180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3">
        <v>94406</v>
      </c>
      <c r="F5" s="16">
        <v>42029</v>
      </c>
      <c r="G5">
        <v>1</v>
      </c>
      <c r="H5" t="s">
        <v>180</v>
      </c>
      <c r="I5" t="s">
        <v>185</v>
      </c>
      <c r="J5" s="15">
        <f>IF(Table1_2[[#This Row],[Salary]]="N/A",AVERAGEIF(Table1_2[Department],Table1_2[[#This Row],[Department]],Table1_2[Salary]),Table1_2[[#This Row],[Salary]])</f>
        <v>94406</v>
      </c>
      <c r="K5" s="16">
        <f>IF(Table1_2[[#This Row],[Date of Joining]]="",AVERAGEIF(Table1_2[Department],Table1_2[[#This Row],[Department]],Table1_2[Date of Joining]),Table1_2[[#This Row],[Date of Joining]])</f>
        <v>42029</v>
      </c>
      <c r="L5">
        <f>IF(Table1_2[[#This Row],[Performance Rating]]="",AVERAGEIF(Table1_2[Department],Table1_2[[#This Row],[Department]],Table1_2[Performance Rating]),Table1_2[[#This Row],[Performance Rating]])</f>
        <v>1</v>
      </c>
      <c r="M5">
        <f>ROUND(Table1_2[[#This Row],[Performance Rating2]],0)</f>
        <v>1</v>
      </c>
      <c r="N5" t="s">
        <v>180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3">
        <v>64120</v>
      </c>
      <c r="F6" s="16">
        <v>42036</v>
      </c>
      <c r="G6">
        <v>1</v>
      </c>
      <c r="H6" t="s">
        <v>180</v>
      </c>
      <c r="I6" t="s">
        <v>186</v>
      </c>
      <c r="J6" s="15">
        <f>IF(Table1_2[[#This Row],[Salary]]="N/A",AVERAGEIF(Table1_2[Department],Table1_2[[#This Row],[Department]],Table1_2[Salary]),Table1_2[[#This Row],[Salary]])</f>
        <v>64120</v>
      </c>
      <c r="K6" s="16">
        <f>IF(Table1_2[[#This Row],[Date of Joining]]="",AVERAGEIF(Table1_2[Department],Table1_2[[#This Row],[Department]],Table1_2[Date of Joining]),Table1_2[[#This Row],[Date of Joining]])</f>
        <v>42036</v>
      </c>
      <c r="L6">
        <f>IF(Table1_2[[#This Row],[Performance Rating]]="",AVERAGEIF(Table1_2[Department],Table1_2[[#This Row],[Department]],Table1_2[Performance Rating]),Table1_2[[#This Row],[Performance Rating]])</f>
        <v>1</v>
      </c>
      <c r="M6">
        <f>ROUND(Table1_2[[#This Row],[Performance Rating2]],0)</f>
        <v>1</v>
      </c>
      <c r="N6" t="s">
        <v>180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3">
        <v>78421</v>
      </c>
      <c r="F7" s="16">
        <v>42043</v>
      </c>
      <c r="G7">
        <v>2</v>
      </c>
      <c r="H7" t="s">
        <v>181</v>
      </c>
      <c r="I7" t="s">
        <v>187</v>
      </c>
      <c r="J7" s="15">
        <f>IF(Table1_2[[#This Row],[Salary]]="N/A",AVERAGEIF(Table1_2[Department],Table1_2[[#This Row],[Department]],Table1_2[Salary]),Table1_2[[#This Row],[Salary]])</f>
        <v>78421</v>
      </c>
      <c r="K7" s="16">
        <f>IF(Table1_2[[#This Row],[Date of Joining]]="",AVERAGEIF(Table1_2[Department],Table1_2[[#This Row],[Department]],Table1_2[Date of Joining]),Table1_2[[#This Row],[Date of Joining]])</f>
        <v>42043</v>
      </c>
      <c r="L7">
        <f>IF(Table1_2[[#This Row],[Performance Rating]]="",AVERAGEIF(Table1_2[Department],Table1_2[[#This Row],[Department]],Table1_2[Performance Rating]),Table1_2[[#This Row],[Performance Rating]])</f>
        <v>2</v>
      </c>
      <c r="M7">
        <f>ROUND(Table1_2[[#This Row],[Performance Rating2]],0)</f>
        <v>2</v>
      </c>
      <c r="N7" t="s">
        <v>181</v>
      </c>
    </row>
    <row r="8" spans="1:14" x14ac:dyDescent="0.35">
      <c r="A8" t="s">
        <v>15</v>
      </c>
      <c r="B8" t="s">
        <v>163</v>
      </c>
      <c r="C8" t="s">
        <v>168</v>
      </c>
      <c r="D8" t="s">
        <v>174</v>
      </c>
      <c r="E8" s="13">
        <v>67721</v>
      </c>
      <c r="F8" s="16">
        <v>42050</v>
      </c>
      <c r="H8" t="s">
        <v>180</v>
      </c>
      <c r="I8" t="s">
        <v>185</v>
      </c>
      <c r="J8" s="15">
        <f>IF(Table1_2[[#This Row],[Salary]]="N/A",AVERAGEIF(Table1_2[Department],Table1_2[[#This Row],[Department]],Table1_2[Salary]),Table1_2[[#This Row],[Salary]])</f>
        <v>67721</v>
      </c>
      <c r="K8" s="16">
        <f>IF(Table1_2[[#This Row],[Date of Joining]]="",AVERAGEIF(Table1_2[Department],Table1_2[[#This Row],[Department]],Table1_2[Date of Joining]),Table1_2[[#This Row],[Date of Joining]])</f>
        <v>42050</v>
      </c>
      <c r="L8">
        <f>IF(Table1_2[[#This Row],[Performance Rating]]="",AVERAGEIF(Table1_2[Department],Table1_2[[#This Row],[Department]],Table1_2[Performance Rating]),Table1_2[[#This Row],[Performance Rating]])</f>
        <v>2.7272727272727271</v>
      </c>
      <c r="M8">
        <f>ROUND(Table1_2[[#This Row],[Performance Rating2]],0)</f>
        <v>3</v>
      </c>
      <c r="N8" t="s">
        <v>180</v>
      </c>
    </row>
    <row r="9" spans="1:14" x14ac:dyDescent="0.35">
      <c r="A9" t="s">
        <v>16</v>
      </c>
      <c r="B9" t="s">
        <v>164</v>
      </c>
      <c r="C9" t="s">
        <v>170</v>
      </c>
      <c r="D9" t="s">
        <v>174</v>
      </c>
      <c r="E9" s="13">
        <v>35364</v>
      </c>
      <c r="F9" s="16">
        <v>42057</v>
      </c>
      <c r="G9">
        <v>2</v>
      </c>
      <c r="H9" t="s">
        <v>179</v>
      </c>
      <c r="I9" t="s">
        <v>188</v>
      </c>
      <c r="J9" s="15">
        <f>IF(Table1_2[[#This Row],[Salary]]="N/A",AVERAGEIF(Table1_2[Department],Table1_2[[#This Row],[Department]],Table1_2[Salary]),Table1_2[[#This Row],[Salary]])</f>
        <v>35364</v>
      </c>
      <c r="K9" s="16">
        <f>IF(Table1_2[[#This Row],[Date of Joining]]="",AVERAGEIF(Table1_2[Department],Table1_2[[#This Row],[Department]],Table1_2[Date of Joining]),Table1_2[[#This Row],[Date of Joining]])</f>
        <v>42057</v>
      </c>
      <c r="L9">
        <f>IF(Table1_2[[#This Row],[Performance Rating]]="",AVERAGEIF(Table1_2[Department],Table1_2[[#This Row],[Department]],Table1_2[Performance Rating]),Table1_2[[#This Row],[Performance Rating]])</f>
        <v>2</v>
      </c>
      <c r="M9">
        <f>ROUND(Table1_2[[#This Row],[Performance Rating2]],0)</f>
        <v>2</v>
      </c>
      <c r="N9" t="s">
        <v>179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3">
        <v>97881</v>
      </c>
      <c r="F10" s="16">
        <v>42064</v>
      </c>
      <c r="H10" t="s">
        <v>181</v>
      </c>
      <c r="I10" t="s">
        <v>189</v>
      </c>
      <c r="J10" s="15">
        <f>IF(Table1_2[[#This Row],[Salary]]="N/A",AVERAGEIF(Table1_2[Department],Table1_2[[#This Row],[Department]],Table1_2[Salary]),Table1_2[[#This Row],[Salary]])</f>
        <v>97881</v>
      </c>
      <c r="K10" s="16">
        <f>IF(Table1_2[[#This Row],[Date of Joining]]="",AVERAGEIF(Table1_2[Department],Table1_2[[#This Row],[Department]],Table1_2[Date of Joining]),Table1_2[[#This Row],[Date of Joining]])</f>
        <v>42064</v>
      </c>
      <c r="L10">
        <f>IF(Table1_2[[#This Row],[Performance Rating]]="",AVERAGEIF(Table1_2[Department],Table1_2[[#This Row],[Department]],Table1_2[Performance Rating]),Table1_2[[#This Row],[Performance Rating]])</f>
        <v>2.9444444444444446</v>
      </c>
      <c r="M10">
        <f>ROUND(Table1_2[[#This Row],[Performance Rating2]],0)</f>
        <v>3</v>
      </c>
      <c r="N10" t="s">
        <v>181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3">
        <v>91846</v>
      </c>
      <c r="F11" s="16">
        <v>42071</v>
      </c>
      <c r="H11" t="s">
        <v>180</v>
      </c>
      <c r="I11" t="s">
        <v>190</v>
      </c>
      <c r="J11" s="15">
        <f>IF(Table1_2[[#This Row],[Salary]]="N/A",AVERAGEIF(Table1_2[Department],Table1_2[[#This Row],[Department]],Table1_2[Salary]),Table1_2[[#This Row],[Salary]])</f>
        <v>91846</v>
      </c>
      <c r="K11" s="16">
        <f>IF(Table1_2[[#This Row],[Date of Joining]]="",AVERAGEIF(Table1_2[Department],Table1_2[[#This Row],[Department]],Table1_2[Date of Joining]),Table1_2[[#This Row],[Date of Joining]])</f>
        <v>42071</v>
      </c>
      <c r="L11">
        <f>IF(Table1_2[[#This Row],[Performance Rating]]="",AVERAGEIF(Table1_2[Department],Table1_2[[#This Row],[Department]],Table1_2[Performance Rating]),Table1_2[[#This Row],[Performance Rating]])</f>
        <v>2.7</v>
      </c>
      <c r="M11">
        <f>ROUND(Table1_2[[#This Row],[Performance Rating2]],0)</f>
        <v>3</v>
      </c>
      <c r="N11" t="s">
        <v>180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3">
        <v>64247</v>
      </c>
      <c r="F12" s="16">
        <v>42078</v>
      </c>
      <c r="G12">
        <v>1</v>
      </c>
      <c r="H12" t="s">
        <v>181</v>
      </c>
      <c r="I12" t="s">
        <v>191</v>
      </c>
      <c r="J12" s="15">
        <f>IF(Table1_2[[#This Row],[Salary]]="N/A",AVERAGEIF(Table1_2[Department],Table1_2[[#This Row],[Department]],Table1_2[Salary]),Table1_2[[#This Row],[Salary]])</f>
        <v>64247</v>
      </c>
      <c r="K12" s="16">
        <f>IF(Table1_2[[#This Row],[Date of Joining]]="",AVERAGEIF(Table1_2[Department],Table1_2[[#This Row],[Department]],Table1_2[Date of Joining]),Table1_2[[#This Row],[Date of Joining]])</f>
        <v>42078</v>
      </c>
      <c r="L12">
        <f>IF(Table1_2[[#This Row],[Performance Rating]]="",AVERAGEIF(Table1_2[Department],Table1_2[[#This Row],[Department]],Table1_2[Performance Rating]),Table1_2[[#This Row],[Performance Rating]])</f>
        <v>1</v>
      </c>
      <c r="M12">
        <f>ROUND(Table1_2[[#This Row],[Performance Rating2]],0)</f>
        <v>1</v>
      </c>
      <c r="N12" t="s">
        <v>181</v>
      </c>
    </row>
    <row r="13" spans="1:14" x14ac:dyDescent="0.35">
      <c r="A13" t="s">
        <v>20</v>
      </c>
      <c r="B13" t="s">
        <v>163</v>
      </c>
      <c r="C13" t="s">
        <v>169</v>
      </c>
      <c r="D13" t="s">
        <v>173</v>
      </c>
      <c r="E13" s="13">
        <v>91180</v>
      </c>
      <c r="F13" s="16">
        <v>42085</v>
      </c>
      <c r="G13">
        <v>5</v>
      </c>
      <c r="H13" t="s">
        <v>180</v>
      </c>
      <c r="I13" t="s">
        <v>192</v>
      </c>
      <c r="J13" s="15">
        <f>IF(Table1_2[[#This Row],[Salary]]="N/A",AVERAGEIF(Table1_2[Department],Table1_2[[#This Row],[Department]],Table1_2[Salary]),Table1_2[[#This Row],[Salary]])</f>
        <v>91180</v>
      </c>
      <c r="K13" s="16">
        <f>IF(Table1_2[[#This Row],[Date of Joining]]="",AVERAGEIF(Table1_2[Department],Table1_2[[#This Row],[Department]],Table1_2[Date of Joining]),Table1_2[[#This Row],[Date of Joining]])</f>
        <v>42085</v>
      </c>
      <c r="L13">
        <f>IF(Table1_2[[#This Row],[Performance Rating]]="",AVERAGEIF(Table1_2[Department],Table1_2[[#This Row],[Department]],Table1_2[Performance Rating]),Table1_2[[#This Row],[Performance Rating]])</f>
        <v>5</v>
      </c>
      <c r="M13">
        <f>ROUND(Table1_2[[#This Row],[Performance Rating2]],0)</f>
        <v>5</v>
      </c>
      <c r="N13" t="s">
        <v>180</v>
      </c>
    </row>
    <row r="14" spans="1:14" x14ac:dyDescent="0.35">
      <c r="A14" t="s">
        <v>21</v>
      </c>
      <c r="B14" t="s">
        <v>165</v>
      </c>
      <c r="C14" t="s">
        <v>168</v>
      </c>
      <c r="D14" t="s">
        <v>174</v>
      </c>
      <c r="E14" s="13">
        <v>96418</v>
      </c>
      <c r="F14" s="16">
        <v>42092</v>
      </c>
      <c r="G14">
        <v>5</v>
      </c>
      <c r="H14" t="s">
        <v>180</v>
      </c>
      <c r="I14" t="s">
        <v>183</v>
      </c>
      <c r="J14" s="15">
        <f>IF(Table1_2[[#This Row],[Salary]]="N/A",AVERAGEIF(Table1_2[Department],Table1_2[[#This Row],[Department]],Table1_2[Salary]),Table1_2[[#This Row],[Salary]])</f>
        <v>96418</v>
      </c>
      <c r="K14" s="16">
        <f>IF(Table1_2[[#This Row],[Date of Joining]]="",AVERAGEIF(Table1_2[Department],Table1_2[[#This Row],[Department]],Table1_2[Date of Joining]),Table1_2[[#This Row],[Date of Joining]])</f>
        <v>42092</v>
      </c>
      <c r="L14">
        <f>IF(Table1_2[[#This Row],[Performance Rating]]="",AVERAGEIF(Table1_2[Department],Table1_2[[#This Row],[Department]],Table1_2[Performance Rating]),Table1_2[[#This Row],[Performance Rating]])</f>
        <v>5</v>
      </c>
      <c r="M14">
        <f>ROUND(Table1_2[[#This Row],[Performance Rating2]],0)</f>
        <v>5</v>
      </c>
      <c r="N14" t="s">
        <v>180</v>
      </c>
    </row>
    <row r="15" spans="1:14" x14ac:dyDescent="0.35">
      <c r="A15" t="s">
        <v>22</v>
      </c>
      <c r="B15" t="s">
        <v>163</v>
      </c>
      <c r="C15" t="s">
        <v>170</v>
      </c>
      <c r="D15" t="s">
        <v>174</v>
      </c>
      <c r="E15" s="13">
        <v>62158</v>
      </c>
      <c r="F15" s="16">
        <v>42099</v>
      </c>
      <c r="G15">
        <v>4</v>
      </c>
      <c r="I15" t="s">
        <v>193</v>
      </c>
      <c r="J15" s="15">
        <f>IF(Table1_2[[#This Row],[Salary]]="N/A",AVERAGEIF(Table1_2[Department],Table1_2[[#This Row],[Department]],Table1_2[Salary]),Table1_2[[#This Row],[Salary]])</f>
        <v>62158</v>
      </c>
      <c r="K15" s="16">
        <f>IF(Table1_2[[#This Row],[Date of Joining]]="",AVERAGEIF(Table1_2[Department],Table1_2[[#This Row],[Department]],Table1_2[Date of Joining]),Table1_2[[#This Row],[Date of Joining]])</f>
        <v>42099</v>
      </c>
      <c r="L15">
        <f>IF(Table1_2[[#This Row],[Performance Rating]]="",AVERAGEIF(Table1_2[Department],Table1_2[[#This Row],[Department]],Table1_2[Performance Rating]),Table1_2[[#This Row],[Performance Rating]])</f>
        <v>4</v>
      </c>
      <c r="M15">
        <f>ROUND(Table1_2[[#This Row],[Performance Rating2]],0)</f>
        <v>4</v>
      </c>
      <c r="N15" t="s">
        <v>180</v>
      </c>
    </row>
    <row r="16" spans="1:14" x14ac:dyDescent="0.35">
      <c r="A16" t="s">
        <v>23</v>
      </c>
      <c r="B16" t="s">
        <v>162</v>
      </c>
      <c r="C16" t="s">
        <v>167</v>
      </c>
      <c r="D16" t="s">
        <v>174</v>
      </c>
      <c r="E16" s="13">
        <v>59894</v>
      </c>
      <c r="F16" s="16">
        <v>42106</v>
      </c>
      <c r="G16">
        <v>2</v>
      </c>
      <c r="H16" t="s">
        <v>180</v>
      </c>
      <c r="I16" t="s">
        <v>194</v>
      </c>
      <c r="J16" s="15">
        <f>IF(Table1_2[[#This Row],[Salary]]="N/A",AVERAGEIF(Table1_2[Department],Table1_2[[#This Row],[Department]],Table1_2[Salary]),Table1_2[[#This Row],[Salary]])</f>
        <v>59894</v>
      </c>
      <c r="K16" s="16">
        <f>IF(Table1_2[[#This Row],[Date of Joining]]="",AVERAGEIF(Table1_2[Department],Table1_2[[#This Row],[Department]],Table1_2[Date of Joining]),Table1_2[[#This Row],[Date of Joining]])</f>
        <v>42106</v>
      </c>
      <c r="L16">
        <f>IF(Table1_2[[#This Row],[Performance Rating]]="",AVERAGEIF(Table1_2[Department],Table1_2[[#This Row],[Department]],Table1_2[Performance Rating]),Table1_2[[#This Row],[Performance Rating]])</f>
        <v>2</v>
      </c>
      <c r="M16">
        <f>ROUND(Table1_2[[#This Row],[Performance Rating2]],0)</f>
        <v>2</v>
      </c>
      <c r="N16" t="s">
        <v>180</v>
      </c>
    </row>
    <row r="17" spans="1:14" x14ac:dyDescent="0.35">
      <c r="A17" t="s">
        <v>24</v>
      </c>
      <c r="B17" t="s">
        <v>178</v>
      </c>
      <c r="C17" t="s">
        <v>169</v>
      </c>
      <c r="D17" t="s">
        <v>174</v>
      </c>
      <c r="E17" s="13">
        <v>92443</v>
      </c>
      <c r="F17" s="16">
        <v>42113</v>
      </c>
      <c r="G17">
        <v>3</v>
      </c>
      <c r="H17" t="s">
        <v>179</v>
      </c>
      <c r="I17" t="s">
        <v>195</v>
      </c>
      <c r="J17" s="15">
        <f>IF(Table1_2[[#This Row],[Salary]]="N/A",AVERAGEIF(Table1_2[Department],Table1_2[[#This Row],[Department]],Table1_2[Salary]),Table1_2[[#This Row],[Salary]])</f>
        <v>92443</v>
      </c>
      <c r="K17" s="16">
        <f>IF(Table1_2[[#This Row],[Date of Joining]]="",AVERAGEIF(Table1_2[Department],Table1_2[[#This Row],[Department]],Table1_2[Date of Joining]),Table1_2[[#This Row],[Date of Joining]])</f>
        <v>42113</v>
      </c>
      <c r="L17">
        <f>IF(Table1_2[[#This Row],[Performance Rating]]="",AVERAGEIF(Table1_2[Department],Table1_2[[#This Row],[Department]],Table1_2[Performance Rating]),Table1_2[[#This Row],[Performance Rating]])</f>
        <v>3</v>
      </c>
      <c r="M17">
        <f>ROUND(Table1_2[[#This Row],[Performance Rating2]],0)</f>
        <v>3</v>
      </c>
      <c r="N17" t="s">
        <v>179</v>
      </c>
    </row>
    <row r="18" spans="1:14" x14ac:dyDescent="0.35">
      <c r="A18" t="s">
        <v>25</v>
      </c>
      <c r="B18" t="s">
        <v>165</v>
      </c>
      <c r="C18" t="s">
        <v>170</v>
      </c>
      <c r="D18" t="s">
        <v>172</v>
      </c>
      <c r="E18" s="13">
        <v>90271</v>
      </c>
      <c r="F18" s="16">
        <v>42120</v>
      </c>
      <c r="I18" t="s">
        <v>196</v>
      </c>
      <c r="J18" s="15">
        <f>IF(Table1_2[[#This Row],[Salary]]="N/A",AVERAGEIF(Table1_2[Department],Table1_2[[#This Row],[Department]],Table1_2[Salary]),Table1_2[[#This Row],[Salary]])</f>
        <v>90271</v>
      </c>
      <c r="K18" s="16">
        <f>IF(Table1_2[[#This Row],[Date of Joining]]="",AVERAGEIF(Table1_2[Department],Table1_2[[#This Row],[Department]],Table1_2[Date of Joining]),Table1_2[[#This Row],[Date of Joining]])</f>
        <v>42120</v>
      </c>
      <c r="L18">
        <f>IF(Table1_2[[#This Row],[Performance Rating]]="",AVERAGEIF(Table1_2[Department],Table1_2[[#This Row],[Department]],Table1_2[Performance Rating]),Table1_2[[#This Row],[Performance Rating]])</f>
        <v>3.1086956521739131</v>
      </c>
      <c r="M18">
        <f>ROUND(Table1_2[[#This Row],[Performance Rating2]],0)</f>
        <v>3</v>
      </c>
      <c r="N18" t="s">
        <v>180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3">
        <v>41341</v>
      </c>
      <c r="F19" s="16">
        <v>42127</v>
      </c>
      <c r="G19">
        <v>1</v>
      </c>
      <c r="H19" t="s">
        <v>179</v>
      </c>
      <c r="I19" t="s">
        <v>197</v>
      </c>
      <c r="J19" s="15">
        <f>IF(Table1_2[[#This Row],[Salary]]="N/A",AVERAGEIF(Table1_2[Department],Table1_2[[#This Row],[Department]],Table1_2[Salary]),Table1_2[[#This Row],[Salary]])</f>
        <v>41341</v>
      </c>
      <c r="K19" s="16">
        <f>IF(Table1_2[[#This Row],[Date of Joining]]="",AVERAGEIF(Table1_2[Department],Table1_2[[#This Row],[Department]],Table1_2[Date of Joining]),Table1_2[[#This Row],[Date of Joining]])</f>
        <v>42127</v>
      </c>
      <c r="L19">
        <f>IF(Table1_2[[#This Row],[Performance Rating]]="",AVERAGEIF(Table1_2[Department],Table1_2[[#This Row],[Department]],Table1_2[Performance Rating]),Table1_2[[#This Row],[Performance Rating]])</f>
        <v>1</v>
      </c>
      <c r="M19">
        <f>ROUND(Table1_2[[#This Row],[Performance Rating2]],0)</f>
        <v>1</v>
      </c>
      <c r="N19" t="s">
        <v>179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3">
        <v>73602</v>
      </c>
      <c r="F20" s="16">
        <v>42134</v>
      </c>
      <c r="I20" t="s">
        <v>198</v>
      </c>
      <c r="J20" s="15">
        <f>IF(Table1_2[[#This Row],[Salary]]="N/A",AVERAGEIF(Table1_2[Department],Table1_2[[#This Row],[Department]],Table1_2[Salary]),Table1_2[[#This Row],[Salary]])</f>
        <v>73602</v>
      </c>
      <c r="K20" s="16">
        <f>IF(Table1_2[[#This Row],[Date of Joining]]="",AVERAGEIF(Table1_2[Department],Table1_2[[#This Row],[Department]],Table1_2[Date of Joining]),Table1_2[[#This Row],[Date of Joining]])</f>
        <v>42134</v>
      </c>
      <c r="L20">
        <f>IF(Table1_2[[#This Row],[Performance Rating]]="",AVERAGEIF(Table1_2[Department],Table1_2[[#This Row],[Department]],Table1_2[Performance Rating]),Table1_2[[#This Row],[Performance Rating]])</f>
        <v>2.5789473684210527</v>
      </c>
      <c r="M20">
        <f>ROUND(Table1_2[[#This Row],[Performance Rating2]],0)</f>
        <v>3</v>
      </c>
      <c r="N20" t="s">
        <v>180</v>
      </c>
    </row>
    <row r="21" spans="1:14" x14ac:dyDescent="0.35">
      <c r="A21" t="s">
        <v>28</v>
      </c>
      <c r="B21" t="s">
        <v>159</v>
      </c>
      <c r="C21" t="s">
        <v>170</v>
      </c>
      <c r="D21" t="s">
        <v>174</v>
      </c>
      <c r="E21" s="13">
        <v>67531</v>
      </c>
      <c r="F21" s="16">
        <v>42141</v>
      </c>
      <c r="G21">
        <v>5</v>
      </c>
      <c r="H21" t="s">
        <v>181</v>
      </c>
      <c r="I21" t="s">
        <v>199</v>
      </c>
      <c r="J21" s="15">
        <f>IF(Table1_2[[#This Row],[Salary]]="N/A",AVERAGEIF(Table1_2[Department],Table1_2[[#This Row],[Department]],Table1_2[Salary]),Table1_2[[#This Row],[Salary]])</f>
        <v>67531</v>
      </c>
      <c r="K21" s="16">
        <f>IF(Table1_2[[#This Row],[Date of Joining]]="",AVERAGEIF(Table1_2[Department],Table1_2[[#This Row],[Department]],Table1_2[Date of Joining]),Table1_2[[#This Row],[Date of Joining]])</f>
        <v>42141</v>
      </c>
      <c r="L21">
        <f>IF(Table1_2[[#This Row],[Performance Rating]]="",AVERAGEIF(Table1_2[Department],Table1_2[[#This Row],[Department]],Table1_2[Performance Rating]),Table1_2[[#This Row],[Performance Rating]])</f>
        <v>5</v>
      </c>
      <c r="M21">
        <f>ROUND(Table1_2[[#This Row],[Performance Rating2]],0)</f>
        <v>5</v>
      </c>
      <c r="N21" t="s">
        <v>181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3" t="s">
        <v>177</v>
      </c>
      <c r="F22" s="16">
        <v>42148</v>
      </c>
      <c r="G22">
        <v>2</v>
      </c>
      <c r="H22" t="s">
        <v>179</v>
      </c>
      <c r="I22" t="s">
        <v>200</v>
      </c>
      <c r="J22" s="15">
        <f>IF(Table1_2[[#This Row],[Salary]]="N/A",AVERAGEIF(Table1_2[Department],Table1_2[[#This Row],[Department]],Table1_2[Salary]),Table1_2[[#This Row],[Salary]])</f>
        <v>67834.565217391311</v>
      </c>
      <c r="K22" s="16">
        <f>IF(Table1_2[[#This Row],[Date of Joining]]="",AVERAGEIF(Table1_2[Department],Table1_2[[#This Row],[Department]],Table1_2[Date of Joining]),Table1_2[[#This Row],[Date of Joining]])</f>
        <v>42148</v>
      </c>
      <c r="L22">
        <f>IF(Table1_2[[#This Row],[Performance Rating]]="",AVERAGEIF(Table1_2[Department],Table1_2[[#This Row],[Department]],Table1_2[Performance Rating]),Table1_2[[#This Row],[Performance Rating]])</f>
        <v>2</v>
      </c>
      <c r="M22">
        <f>ROUND(Table1_2[[#This Row],[Performance Rating2]],0)</f>
        <v>2</v>
      </c>
      <c r="N22" t="s">
        <v>179</v>
      </c>
    </row>
    <row r="23" spans="1:14" x14ac:dyDescent="0.35">
      <c r="A23" t="s">
        <v>30</v>
      </c>
      <c r="B23" t="s">
        <v>162</v>
      </c>
      <c r="C23" t="s">
        <v>167</v>
      </c>
      <c r="D23" t="s">
        <v>174</v>
      </c>
      <c r="E23" s="13">
        <v>98922</v>
      </c>
      <c r="F23" s="16">
        <v>42155</v>
      </c>
      <c r="G23">
        <v>4</v>
      </c>
      <c r="I23" t="s">
        <v>201</v>
      </c>
      <c r="J23" s="15">
        <f>IF(Table1_2[[#This Row],[Salary]]="N/A",AVERAGEIF(Table1_2[Department],Table1_2[[#This Row],[Department]],Table1_2[Salary]),Table1_2[[#This Row],[Salary]])</f>
        <v>98922</v>
      </c>
      <c r="K23" s="16">
        <f>IF(Table1_2[[#This Row],[Date of Joining]]="",AVERAGEIF(Table1_2[Department],Table1_2[[#This Row],[Department]],Table1_2[Date of Joining]),Table1_2[[#This Row],[Date of Joining]])</f>
        <v>42155</v>
      </c>
      <c r="L23">
        <f>IF(Table1_2[[#This Row],[Performance Rating]]="",AVERAGEIF(Table1_2[Department],Table1_2[[#This Row],[Department]],Table1_2[Performance Rating]),Table1_2[[#This Row],[Performance Rating]])</f>
        <v>4</v>
      </c>
      <c r="M23">
        <f>ROUND(Table1_2[[#This Row],[Performance Rating2]],0)</f>
        <v>4</v>
      </c>
      <c r="N23" t="s">
        <v>180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3">
        <v>38333</v>
      </c>
      <c r="F24" s="16">
        <v>42162</v>
      </c>
      <c r="G24">
        <v>5</v>
      </c>
      <c r="I24" t="s">
        <v>202</v>
      </c>
      <c r="J24" s="15">
        <f>IF(Table1_2[[#This Row],[Salary]]="N/A",AVERAGEIF(Table1_2[Department],Table1_2[[#This Row],[Department]],Table1_2[Salary]),Table1_2[[#This Row],[Salary]])</f>
        <v>38333</v>
      </c>
      <c r="K24" s="16">
        <f>IF(Table1_2[[#This Row],[Date of Joining]]="",AVERAGEIF(Table1_2[Department],Table1_2[[#This Row],[Department]],Table1_2[Date of Joining]),Table1_2[[#This Row],[Date of Joining]])</f>
        <v>42162</v>
      </c>
      <c r="L24">
        <f>IF(Table1_2[[#This Row],[Performance Rating]]="",AVERAGEIF(Table1_2[Department],Table1_2[[#This Row],[Department]],Table1_2[Performance Rating]),Table1_2[[#This Row],[Performance Rating]])</f>
        <v>5</v>
      </c>
      <c r="M24">
        <f>ROUND(Table1_2[[#This Row],[Performance Rating2]],0)</f>
        <v>5</v>
      </c>
      <c r="N24" t="s">
        <v>180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3">
        <v>36515</v>
      </c>
      <c r="F25" s="16">
        <v>42169</v>
      </c>
      <c r="G25">
        <v>3</v>
      </c>
      <c r="H25" t="s">
        <v>180</v>
      </c>
      <c r="I25" t="s">
        <v>203</v>
      </c>
      <c r="J25" s="15">
        <f>IF(Table1_2[[#This Row],[Salary]]="N/A",AVERAGEIF(Table1_2[Department],Table1_2[[#This Row],[Department]],Table1_2[Salary]),Table1_2[[#This Row],[Salary]])</f>
        <v>36515</v>
      </c>
      <c r="K25" s="16">
        <f>IF(Table1_2[[#This Row],[Date of Joining]]="",AVERAGEIF(Table1_2[Department],Table1_2[[#This Row],[Department]],Table1_2[Date of Joining]),Table1_2[[#This Row],[Date of Joining]])</f>
        <v>42169</v>
      </c>
      <c r="L25">
        <f>IF(Table1_2[[#This Row],[Performance Rating]]="",AVERAGEIF(Table1_2[Department],Table1_2[[#This Row],[Department]],Table1_2[Performance Rating]),Table1_2[[#This Row],[Performance Rating]])</f>
        <v>3</v>
      </c>
      <c r="M25">
        <f>ROUND(Table1_2[[#This Row],[Performance Rating2]],0)</f>
        <v>3</v>
      </c>
      <c r="N25" t="s">
        <v>180</v>
      </c>
    </row>
    <row r="26" spans="1:14" x14ac:dyDescent="0.35">
      <c r="A26" t="s">
        <v>33</v>
      </c>
      <c r="B26" t="s">
        <v>163</v>
      </c>
      <c r="C26" t="s">
        <v>166</v>
      </c>
      <c r="D26" t="s">
        <v>174</v>
      </c>
      <c r="E26" s="13">
        <v>91005</v>
      </c>
      <c r="F26" s="16">
        <v>42176</v>
      </c>
      <c r="G26">
        <v>1</v>
      </c>
      <c r="H26" t="s">
        <v>179</v>
      </c>
      <c r="I26" t="s">
        <v>204</v>
      </c>
      <c r="J26" s="15">
        <f>IF(Table1_2[[#This Row],[Salary]]="N/A",AVERAGEIF(Table1_2[Department],Table1_2[[#This Row],[Department]],Table1_2[Salary]),Table1_2[[#This Row],[Salary]])</f>
        <v>91005</v>
      </c>
      <c r="K26" s="16">
        <f>IF(Table1_2[[#This Row],[Date of Joining]]="",AVERAGEIF(Table1_2[Department],Table1_2[[#This Row],[Department]],Table1_2[Date of Joining]),Table1_2[[#This Row],[Date of Joining]])</f>
        <v>42176</v>
      </c>
      <c r="L26">
        <f>IF(Table1_2[[#This Row],[Performance Rating]]="",AVERAGEIF(Table1_2[Department],Table1_2[[#This Row],[Department]],Table1_2[Performance Rating]),Table1_2[[#This Row],[Performance Rating]])</f>
        <v>1</v>
      </c>
      <c r="M26">
        <f>ROUND(Table1_2[[#This Row],[Performance Rating2]],0)</f>
        <v>1</v>
      </c>
      <c r="N26" t="s">
        <v>179</v>
      </c>
    </row>
    <row r="27" spans="1:14" x14ac:dyDescent="0.35">
      <c r="A27" t="s">
        <v>34</v>
      </c>
      <c r="B27" t="s">
        <v>164</v>
      </c>
      <c r="C27" t="s">
        <v>170</v>
      </c>
      <c r="D27" t="s">
        <v>174</v>
      </c>
      <c r="E27" s="13">
        <v>52272</v>
      </c>
      <c r="F27" s="16">
        <v>42183</v>
      </c>
      <c r="G27">
        <v>3</v>
      </c>
      <c r="I27" t="s">
        <v>205</v>
      </c>
      <c r="J27" s="15">
        <f>IF(Table1_2[[#This Row],[Salary]]="N/A",AVERAGEIF(Table1_2[Department],Table1_2[[#This Row],[Department]],Table1_2[Salary]),Table1_2[[#This Row],[Salary]])</f>
        <v>52272</v>
      </c>
      <c r="K27" s="16">
        <f>IF(Table1_2[[#This Row],[Date of Joining]]="",AVERAGEIF(Table1_2[Department],Table1_2[[#This Row],[Department]],Table1_2[Date of Joining]),Table1_2[[#This Row],[Date of Joining]])</f>
        <v>42183</v>
      </c>
      <c r="L27">
        <f>IF(Table1_2[[#This Row],[Performance Rating]]="",AVERAGEIF(Table1_2[Department],Table1_2[[#This Row],[Department]],Table1_2[Performance Rating]),Table1_2[[#This Row],[Performance Rating]])</f>
        <v>3</v>
      </c>
      <c r="M27">
        <f>ROUND(Table1_2[[#This Row],[Performance Rating2]],0)</f>
        <v>3</v>
      </c>
      <c r="N27" t="s">
        <v>180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3">
        <v>76518</v>
      </c>
      <c r="F28" s="16">
        <v>42190</v>
      </c>
      <c r="G28">
        <v>2</v>
      </c>
      <c r="H28" t="s">
        <v>181</v>
      </c>
      <c r="I28" t="s">
        <v>206</v>
      </c>
      <c r="J28" s="15">
        <f>IF(Table1_2[[#This Row],[Salary]]="N/A",AVERAGEIF(Table1_2[Department],Table1_2[[#This Row],[Department]],Table1_2[Salary]),Table1_2[[#This Row],[Salary]])</f>
        <v>76518</v>
      </c>
      <c r="K28" s="16">
        <f>IF(Table1_2[[#This Row],[Date of Joining]]="",AVERAGEIF(Table1_2[Department],Table1_2[[#This Row],[Department]],Table1_2[Date of Joining]),Table1_2[[#This Row],[Date of Joining]])</f>
        <v>42190</v>
      </c>
      <c r="L28">
        <f>IF(Table1_2[[#This Row],[Performance Rating]]="",AVERAGEIF(Table1_2[Department],Table1_2[[#This Row],[Department]],Table1_2[Performance Rating]),Table1_2[[#This Row],[Performance Rating]])</f>
        <v>2</v>
      </c>
      <c r="M28">
        <f>ROUND(Table1_2[[#This Row],[Performance Rating2]],0)</f>
        <v>2</v>
      </c>
      <c r="N28" t="s">
        <v>181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3">
        <v>41448</v>
      </c>
      <c r="F29" s="16">
        <v>42197</v>
      </c>
      <c r="G29">
        <v>3</v>
      </c>
      <c r="H29" t="s">
        <v>179</v>
      </c>
      <c r="I29" t="s">
        <v>207</v>
      </c>
      <c r="J29" s="15">
        <f>IF(Table1_2[[#This Row],[Salary]]="N/A",AVERAGEIF(Table1_2[Department],Table1_2[[#This Row],[Department]],Table1_2[Salary]),Table1_2[[#This Row],[Salary]])</f>
        <v>41448</v>
      </c>
      <c r="K29" s="16">
        <f>IF(Table1_2[[#This Row],[Date of Joining]]="",AVERAGEIF(Table1_2[Department],Table1_2[[#This Row],[Department]],Table1_2[Date of Joining]),Table1_2[[#This Row],[Date of Joining]])</f>
        <v>42197</v>
      </c>
      <c r="L29">
        <f>IF(Table1_2[[#This Row],[Performance Rating]]="",AVERAGEIF(Table1_2[Department],Table1_2[[#This Row],[Department]],Table1_2[Performance Rating]),Table1_2[[#This Row],[Performance Rating]])</f>
        <v>3</v>
      </c>
      <c r="M29">
        <f>ROUND(Table1_2[[#This Row],[Performance Rating2]],0)</f>
        <v>3</v>
      </c>
      <c r="N29" t="s">
        <v>179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3">
        <v>49282</v>
      </c>
      <c r="F30" s="16">
        <v>42204</v>
      </c>
      <c r="G30">
        <v>2</v>
      </c>
      <c r="H30" t="s">
        <v>181</v>
      </c>
      <c r="I30" t="s">
        <v>208</v>
      </c>
      <c r="J30" s="15">
        <f>IF(Table1_2[[#This Row],[Salary]]="N/A",AVERAGEIF(Table1_2[Department],Table1_2[[#This Row],[Department]],Table1_2[Salary]),Table1_2[[#This Row],[Salary]])</f>
        <v>49282</v>
      </c>
      <c r="K30" s="16">
        <f>IF(Table1_2[[#This Row],[Date of Joining]]="",AVERAGEIF(Table1_2[Department],Table1_2[[#This Row],[Department]],Table1_2[Date of Joining]),Table1_2[[#This Row],[Date of Joining]])</f>
        <v>42204</v>
      </c>
      <c r="L30">
        <f>IF(Table1_2[[#This Row],[Performance Rating]]="",AVERAGEIF(Table1_2[Department],Table1_2[[#This Row],[Department]],Table1_2[Performance Rating]),Table1_2[[#This Row],[Performance Rating]])</f>
        <v>2</v>
      </c>
      <c r="M30">
        <f>ROUND(Table1_2[[#This Row],[Performance Rating2]],0)</f>
        <v>2</v>
      </c>
      <c r="N30" t="s">
        <v>181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3">
        <v>92959</v>
      </c>
      <c r="F31" s="16">
        <v>42211</v>
      </c>
      <c r="G31">
        <v>5</v>
      </c>
      <c r="I31" t="s">
        <v>209</v>
      </c>
      <c r="J31" s="15">
        <f>IF(Table1_2[[#This Row],[Salary]]="N/A",AVERAGEIF(Table1_2[Department],Table1_2[[#This Row],[Department]],Table1_2[Salary]),Table1_2[[#This Row],[Salary]])</f>
        <v>92959</v>
      </c>
      <c r="K31" s="16">
        <f>IF(Table1_2[[#This Row],[Date of Joining]]="",AVERAGEIF(Table1_2[Department],Table1_2[[#This Row],[Department]],Table1_2[Date of Joining]),Table1_2[[#This Row],[Date of Joining]])</f>
        <v>42211</v>
      </c>
      <c r="L31">
        <f>IF(Table1_2[[#This Row],[Performance Rating]]="",AVERAGEIF(Table1_2[Department],Table1_2[[#This Row],[Department]],Table1_2[Performance Rating]),Table1_2[[#This Row],[Performance Rating]])</f>
        <v>5</v>
      </c>
      <c r="M31">
        <f>ROUND(Table1_2[[#This Row],[Performance Rating2]],0)</f>
        <v>5</v>
      </c>
      <c r="N31" t="s">
        <v>180</v>
      </c>
    </row>
    <row r="32" spans="1:14" x14ac:dyDescent="0.35">
      <c r="A32" t="s">
        <v>39</v>
      </c>
      <c r="B32" t="s">
        <v>178</v>
      </c>
      <c r="C32" t="s">
        <v>170</v>
      </c>
      <c r="D32" t="s">
        <v>174</v>
      </c>
      <c r="E32" s="13">
        <v>92259</v>
      </c>
      <c r="F32" s="16"/>
      <c r="G32">
        <v>1</v>
      </c>
      <c r="H32" t="s">
        <v>178</v>
      </c>
      <c r="I32" t="s">
        <v>210</v>
      </c>
      <c r="J32" s="15">
        <f>IF(Table1_2[[#This Row],[Salary]]="N/A",AVERAGEIF(Table1_2[Department],Table1_2[[#This Row],[Department]],Table1_2[Salary]),Table1_2[[#This Row],[Salary]])</f>
        <v>92259</v>
      </c>
      <c r="K32" s="16">
        <f>IF(Table1_2[[#This Row],[Date of Joining]]="",AVERAGEIF(Table1_2[Department],Table1_2[[#This Row],[Department]],Table1_2[Date of Joining]),Table1_2[[#This Row],[Date of Joining]])</f>
        <v>42590</v>
      </c>
      <c r="L32">
        <f>IF(Table1_2[[#This Row],[Performance Rating]]="",AVERAGEIF(Table1_2[Department],Table1_2[[#This Row],[Department]],Table1_2[Performance Rating]),Table1_2[[#This Row],[Performance Rating]])</f>
        <v>1</v>
      </c>
      <c r="M32">
        <f>ROUND(Table1_2[[#This Row],[Performance Rating2]],0)</f>
        <v>1</v>
      </c>
      <c r="N32" t="s">
        <v>178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3">
        <v>92299</v>
      </c>
      <c r="F33" s="16">
        <v>42225</v>
      </c>
      <c r="G33">
        <v>3</v>
      </c>
      <c r="H33" t="s">
        <v>180</v>
      </c>
      <c r="I33" t="s">
        <v>211</v>
      </c>
      <c r="J33" s="15">
        <f>IF(Table1_2[[#This Row],[Salary]]="N/A",AVERAGEIF(Table1_2[Department],Table1_2[[#This Row],[Department]],Table1_2[Salary]),Table1_2[[#This Row],[Salary]])</f>
        <v>92299</v>
      </c>
      <c r="K33" s="16">
        <f>IF(Table1_2[[#This Row],[Date of Joining]]="",AVERAGEIF(Table1_2[Department],Table1_2[[#This Row],[Department]],Table1_2[Date of Joining]),Table1_2[[#This Row],[Date of Joining]])</f>
        <v>42225</v>
      </c>
      <c r="L33">
        <f>IF(Table1_2[[#This Row],[Performance Rating]]="",AVERAGEIF(Table1_2[Department],Table1_2[[#This Row],[Department]],Table1_2[Performance Rating]),Table1_2[[#This Row],[Performance Rating]])</f>
        <v>3</v>
      </c>
      <c r="M33">
        <f>ROUND(Table1_2[[#This Row],[Performance Rating2]],0)</f>
        <v>3</v>
      </c>
      <c r="N33" t="s">
        <v>180</v>
      </c>
    </row>
    <row r="34" spans="1:14" x14ac:dyDescent="0.35">
      <c r="A34" t="s">
        <v>41</v>
      </c>
      <c r="B34" t="s">
        <v>163</v>
      </c>
      <c r="C34" t="s">
        <v>167</v>
      </c>
      <c r="D34" t="s">
        <v>174</v>
      </c>
      <c r="E34" s="13">
        <v>95586</v>
      </c>
      <c r="F34" s="16">
        <v>42232</v>
      </c>
      <c r="G34">
        <v>3</v>
      </c>
      <c r="H34" t="s">
        <v>179</v>
      </c>
      <c r="I34" t="s">
        <v>212</v>
      </c>
      <c r="J34" s="15">
        <f>IF(Table1_2[[#This Row],[Salary]]="N/A",AVERAGEIF(Table1_2[Department],Table1_2[[#This Row],[Department]],Table1_2[Salary]),Table1_2[[#This Row],[Salary]])</f>
        <v>95586</v>
      </c>
      <c r="K34" s="16">
        <f>IF(Table1_2[[#This Row],[Date of Joining]]="",AVERAGEIF(Table1_2[Department],Table1_2[[#This Row],[Department]],Table1_2[Date of Joining]),Table1_2[[#This Row],[Date of Joining]])</f>
        <v>42232</v>
      </c>
      <c r="L34">
        <f>IF(Table1_2[[#This Row],[Performance Rating]]="",AVERAGEIF(Table1_2[Department],Table1_2[[#This Row],[Department]],Table1_2[Performance Rating]),Table1_2[[#This Row],[Performance Rating]])</f>
        <v>3</v>
      </c>
      <c r="M34">
        <f>ROUND(Table1_2[[#This Row],[Performance Rating2]],0)</f>
        <v>3</v>
      </c>
      <c r="N34" t="s">
        <v>179</v>
      </c>
    </row>
    <row r="35" spans="1:14" x14ac:dyDescent="0.35">
      <c r="A35" t="s">
        <v>42</v>
      </c>
      <c r="B35" t="s">
        <v>164</v>
      </c>
      <c r="C35" t="s">
        <v>170</v>
      </c>
      <c r="D35" t="s">
        <v>173</v>
      </c>
      <c r="E35" s="13">
        <v>95367</v>
      </c>
      <c r="F35" s="16">
        <v>42239</v>
      </c>
      <c r="H35" t="s">
        <v>180</v>
      </c>
      <c r="I35" t="s">
        <v>213</v>
      </c>
      <c r="J35" s="15">
        <f>IF(Table1_2[[#This Row],[Salary]]="N/A",AVERAGEIF(Table1_2[Department],Table1_2[[#This Row],[Department]],Table1_2[Salary]),Table1_2[[#This Row],[Salary]])</f>
        <v>95367</v>
      </c>
      <c r="K35" s="16">
        <f>IF(Table1_2[[#This Row],[Date of Joining]]="",AVERAGEIF(Table1_2[Department],Table1_2[[#This Row],[Department]],Table1_2[Date of Joining]),Table1_2[[#This Row],[Date of Joining]])</f>
        <v>42239</v>
      </c>
      <c r="L35">
        <f>IF(Table1_2[[#This Row],[Performance Rating]]="",AVERAGEIF(Table1_2[Department],Table1_2[[#This Row],[Department]],Table1_2[Performance Rating]),Table1_2[[#This Row],[Performance Rating]])</f>
        <v>3.1086956521739131</v>
      </c>
      <c r="M35">
        <f>ROUND(Table1_2[[#This Row],[Performance Rating2]],0)</f>
        <v>3</v>
      </c>
      <c r="N35" t="s">
        <v>180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3">
        <v>79549</v>
      </c>
      <c r="F36" s="16">
        <v>42246</v>
      </c>
      <c r="G36">
        <v>3</v>
      </c>
      <c r="I36" t="s">
        <v>214</v>
      </c>
      <c r="J36" s="15">
        <f>IF(Table1_2[[#This Row],[Salary]]="N/A",AVERAGEIF(Table1_2[Department],Table1_2[[#This Row],[Department]],Table1_2[Salary]),Table1_2[[#This Row],[Salary]])</f>
        <v>79549</v>
      </c>
      <c r="K36" s="16">
        <f>IF(Table1_2[[#This Row],[Date of Joining]]="",AVERAGEIF(Table1_2[Department],Table1_2[[#This Row],[Department]],Table1_2[Date of Joining]),Table1_2[[#This Row],[Date of Joining]])</f>
        <v>42246</v>
      </c>
      <c r="L36">
        <f>IF(Table1_2[[#This Row],[Performance Rating]]="",AVERAGEIF(Table1_2[Department],Table1_2[[#This Row],[Department]],Table1_2[Performance Rating]),Table1_2[[#This Row],[Performance Rating]])</f>
        <v>3</v>
      </c>
      <c r="M36">
        <f>ROUND(Table1_2[[#This Row],[Performance Rating2]],0)</f>
        <v>3</v>
      </c>
      <c r="N36" t="s">
        <v>180</v>
      </c>
    </row>
    <row r="37" spans="1:14" x14ac:dyDescent="0.35">
      <c r="A37" t="s">
        <v>44</v>
      </c>
      <c r="B37" t="s">
        <v>160</v>
      </c>
      <c r="C37" t="s">
        <v>170</v>
      </c>
      <c r="D37" t="s">
        <v>175</v>
      </c>
      <c r="E37" s="13">
        <v>54463</v>
      </c>
      <c r="F37" s="16">
        <v>42253</v>
      </c>
      <c r="G37">
        <v>4</v>
      </c>
      <c r="H37" t="s">
        <v>180</v>
      </c>
      <c r="I37" t="s">
        <v>182</v>
      </c>
      <c r="J37" s="15">
        <f>IF(Table1_2[[#This Row],[Salary]]="N/A",AVERAGEIF(Table1_2[Department],Table1_2[[#This Row],[Department]],Table1_2[Salary]),Table1_2[[#This Row],[Salary]])</f>
        <v>54463</v>
      </c>
      <c r="K37" s="16">
        <f>IF(Table1_2[[#This Row],[Date of Joining]]="",AVERAGEIF(Table1_2[Department],Table1_2[[#This Row],[Department]],Table1_2[Date of Joining]),Table1_2[[#This Row],[Date of Joining]])</f>
        <v>42253</v>
      </c>
      <c r="L37">
        <f>IF(Table1_2[[#This Row],[Performance Rating]]="",AVERAGEIF(Table1_2[Department],Table1_2[[#This Row],[Department]],Table1_2[Performance Rating]),Table1_2[[#This Row],[Performance Rating]])</f>
        <v>4</v>
      </c>
      <c r="M37">
        <f>ROUND(Table1_2[[#This Row],[Performance Rating2]],0)</f>
        <v>4</v>
      </c>
      <c r="N37" t="s">
        <v>180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3">
        <v>89781</v>
      </c>
      <c r="F38" s="16">
        <v>42260</v>
      </c>
      <c r="H38" t="s">
        <v>181</v>
      </c>
      <c r="I38" t="s">
        <v>215</v>
      </c>
      <c r="J38" s="15">
        <f>IF(Table1_2[[#This Row],[Salary]]="N/A",AVERAGEIF(Table1_2[Department],Table1_2[[#This Row],[Department]],Table1_2[Salary]),Table1_2[[#This Row],[Salary]])</f>
        <v>89781</v>
      </c>
      <c r="K38" s="16">
        <f>IF(Table1_2[[#This Row],[Date of Joining]]="",AVERAGEIF(Table1_2[Department],Table1_2[[#This Row],[Department]],Table1_2[Date of Joining]),Table1_2[[#This Row],[Date of Joining]])</f>
        <v>42260</v>
      </c>
      <c r="L38">
        <f>IF(Table1_2[[#This Row],[Performance Rating]]="",AVERAGEIF(Table1_2[Department],Table1_2[[#This Row],[Department]],Table1_2[Performance Rating]),Table1_2[[#This Row],[Performance Rating]])</f>
        <v>2.9444444444444446</v>
      </c>
      <c r="M38">
        <f>ROUND(Table1_2[[#This Row],[Performance Rating2]],0)</f>
        <v>3</v>
      </c>
      <c r="N38" t="s">
        <v>181</v>
      </c>
    </row>
    <row r="39" spans="1:14" x14ac:dyDescent="0.35">
      <c r="A39" t="s">
        <v>46</v>
      </c>
      <c r="B39" t="s">
        <v>160</v>
      </c>
      <c r="C39" t="s">
        <v>167</v>
      </c>
      <c r="D39" t="s">
        <v>174</v>
      </c>
      <c r="E39" s="13">
        <v>64796</v>
      </c>
      <c r="F39" s="16">
        <v>42267</v>
      </c>
      <c r="H39" t="s">
        <v>179</v>
      </c>
      <c r="I39" t="s">
        <v>216</v>
      </c>
      <c r="J39" s="15">
        <f>IF(Table1_2[[#This Row],[Salary]]="N/A",AVERAGEIF(Table1_2[Department],Table1_2[[#This Row],[Department]],Table1_2[Salary]),Table1_2[[#This Row],[Salary]])</f>
        <v>64796</v>
      </c>
      <c r="K39" s="16">
        <f>IF(Table1_2[[#This Row],[Date of Joining]]="",AVERAGEIF(Table1_2[Department],Table1_2[[#This Row],[Department]],Table1_2[Date of Joining]),Table1_2[[#This Row],[Date of Joining]])</f>
        <v>42267</v>
      </c>
      <c r="L39">
        <f>IF(Table1_2[[#This Row],[Performance Rating]]="",AVERAGEIF(Table1_2[Department],Table1_2[[#This Row],[Department]],Table1_2[Performance Rating]),Table1_2[[#This Row],[Performance Rating]])</f>
        <v>2.7</v>
      </c>
      <c r="M39">
        <f>ROUND(Table1_2[[#This Row],[Performance Rating2]],0)</f>
        <v>3</v>
      </c>
      <c r="N39" t="s">
        <v>179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3">
        <v>52093</v>
      </c>
      <c r="F40" s="16">
        <v>42274</v>
      </c>
      <c r="G40">
        <v>5</v>
      </c>
      <c r="I40" t="s">
        <v>217</v>
      </c>
      <c r="J40" s="15">
        <f>IF(Table1_2[[#This Row],[Salary]]="N/A",AVERAGEIF(Table1_2[Department],Table1_2[[#This Row],[Department]],Table1_2[Salary]),Table1_2[[#This Row],[Salary]])</f>
        <v>52093</v>
      </c>
      <c r="K40" s="16">
        <f>IF(Table1_2[[#This Row],[Date of Joining]]="",AVERAGEIF(Table1_2[Department],Table1_2[[#This Row],[Department]],Table1_2[Date of Joining]),Table1_2[[#This Row],[Date of Joining]])</f>
        <v>42274</v>
      </c>
      <c r="L40">
        <f>IF(Table1_2[[#This Row],[Performance Rating]]="",AVERAGEIF(Table1_2[Department],Table1_2[[#This Row],[Department]],Table1_2[Performance Rating]),Table1_2[[#This Row],[Performance Rating]])</f>
        <v>5</v>
      </c>
      <c r="M40">
        <f>ROUND(Table1_2[[#This Row],[Performance Rating2]],0)</f>
        <v>5</v>
      </c>
      <c r="N40" t="s">
        <v>180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3">
        <v>48224</v>
      </c>
      <c r="F41" s="16">
        <v>42281</v>
      </c>
      <c r="G41">
        <v>3</v>
      </c>
      <c r="I41" t="s">
        <v>218</v>
      </c>
      <c r="J41" s="15">
        <f>IF(Table1_2[[#This Row],[Salary]]="N/A",AVERAGEIF(Table1_2[Department],Table1_2[[#This Row],[Department]],Table1_2[Salary]),Table1_2[[#This Row],[Salary]])</f>
        <v>48224</v>
      </c>
      <c r="K41" s="16">
        <f>IF(Table1_2[[#This Row],[Date of Joining]]="",AVERAGEIF(Table1_2[Department],Table1_2[[#This Row],[Department]],Table1_2[Date of Joining]),Table1_2[[#This Row],[Date of Joining]])</f>
        <v>42281</v>
      </c>
      <c r="L41">
        <f>IF(Table1_2[[#This Row],[Performance Rating]]="",AVERAGEIF(Table1_2[Department],Table1_2[[#This Row],[Department]],Table1_2[Performance Rating]),Table1_2[[#This Row],[Performance Rating]])</f>
        <v>3</v>
      </c>
      <c r="M41">
        <f>ROUND(Table1_2[[#This Row],[Performance Rating2]],0)</f>
        <v>3</v>
      </c>
      <c r="N41" t="s">
        <v>180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3" t="s">
        <v>177</v>
      </c>
      <c r="F42" s="16"/>
      <c r="G42">
        <v>4</v>
      </c>
      <c r="H42" t="s">
        <v>181</v>
      </c>
      <c r="I42" t="s">
        <v>219</v>
      </c>
      <c r="J42" s="15">
        <f>IF(Table1_2[[#This Row],[Salary]]="N/A",AVERAGEIF(Table1_2[Department],Table1_2[[#This Row],[Department]],Table1_2[Salary]),Table1_2[[#This Row],[Salary]])</f>
        <v>65604.55</v>
      </c>
      <c r="K42" s="16">
        <f>IF(Table1_2[[#This Row],[Date of Joining]]="",AVERAGEIF(Table1_2[Department],Table1_2[[#This Row],[Department]],Table1_2[Date of Joining]),Table1_2[[#This Row],[Date of Joining]])</f>
        <v>42454.25</v>
      </c>
      <c r="L42">
        <f>IF(Table1_2[[#This Row],[Performance Rating]]="",AVERAGEIF(Table1_2[Department],Table1_2[[#This Row],[Department]],Table1_2[Performance Rating]),Table1_2[[#This Row],[Performance Rating]])</f>
        <v>4</v>
      </c>
      <c r="M42">
        <f>ROUND(Table1_2[[#This Row],[Performance Rating2]],0)</f>
        <v>4</v>
      </c>
      <c r="N42" t="s">
        <v>181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3">
        <v>33956</v>
      </c>
      <c r="F43" s="16">
        <v>42295</v>
      </c>
      <c r="I43" t="s">
        <v>220</v>
      </c>
      <c r="J43" s="15">
        <f>IF(Table1_2[[#This Row],[Salary]]="N/A",AVERAGEIF(Table1_2[Department],Table1_2[[#This Row],[Department]],Table1_2[Salary]),Table1_2[[#This Row],[Salary]])</f>
        <v>33956</v>
      </c>
      <c r="K43" s="16">
        <f>IF(Table1_2[[#This Row],[Date of Joining]]="",AVERAGEIF(Table1_2[Department],Table1_2[[#This Row],[Department]],Table1_2[Date of Joining]),Table1_2[[#This Row],[Date of Joining]])</f>
        <v>42295</v>
      </c>
      <c r="L43">
        <f>IF(Table1_2[[#This Row],[Performance Rating]]="",AVERAGEIF(Table1_2[Department],Table1_2[[#This Row],[Department]],Table1_2[Performance Rating]),Table1_2[[#This Row],[Performance Rating]])</f>
        <v>2.9444444444444446</v>
      </c>
      <c r="M43">
        <f>ROUND(Table1_2[[#This Row],[Performance Rating2]],0)</f>
        <v>3</v>
      </c>
      <c r="N43" t="s">
        <v>180</v>
      </c>
    </row>
    <row r="44" spans="1:14" x14ac:dyDescent="0.35">
      <c r="A44" t="s">
        <v>51</v>
      </c>
      <c r="B44" t="s">
        <v>165</v>
      </c>
      <c r="C44" t="s">
        <v>170</v>
      </c>
      <c r="D44" t="s">
        <v>176</v>
      </c>
      <c r="E44" s="13">
        <v>64913</v>
      </c>
      <c r="F44" s="16">
        <v>42302</v>
      </c>
      <c r="G44">
        <v>1</v>
      </c>
      <c r="H44" t="s">
        <v>181</v>
      </c>
      <c r="I44" t="s">
        <v>221</v>
      </c>
      <c r="J44" s="15">
        <f>IF(Table1_2[[#This Row],[Salary]]="N/A",AVERAGEIF(Table1_2[Department],Table1_2[[#This Row],[Department]],Table1_2[Salary]),Table1_2[[#This Row],[Salary]])</f>
        <v>64913</v>
      </c>
      <c r="K44" s="16">
        <f>IF(Table1_2[[#This Row],[Date of Joining]]="",AVERAGEIF(Table1_2[Department],Table1_2[[#This Row],[Department]],Table1_2[Date of Joining]),Table1_2[[#This Row],[Date of Joining]])</f>
        <v>42302</v>
      </c>
      <c r="L44">
        <f>IF(Table1_2[[#This Row],[Performance Rating]]="",AVERAGEIF(Table1_2[Department],Table1_2[[#This Row],[Department]],Table1_2[Performance Rating]),Table1_2[[#This Row],[Performance Rating]])</f>
        <v>1</v>
      </c>
      <c r="M44">
        <f>ROUND(Table1_2[[#This Row],[Performance Rating2]],0)</f>
        <v>1</v>
      </c>
      <c r="N44" t="s">
        <v>181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3">
        <v>35326</v>
      </c>
      <c r="F45" s="16">
        <v>42309</v>
      </c>
      <c r="H45" t="s">
        <v>181</v>
      </c>
      <c r="I45" t="s">
        <v>222</v>
      </c>
      <c r="J45" s="15">
        <f>IF(Table1_2[[#This Row],[Salary]]="N/A",AVERAGEIF(Table1_2[Department],Table1_2[[#This Row],[Department]],Table1_2[Salary]),Table1_2[[#This Row],[Salary]])</f>
        <v>35326</v>
      </c>
      <c r="K45" s="16">
        <f>IF(Table1_2[[#This Row],[Date of Joining]]="",AVERAGEIF(Table1_2[Department],Table1_2[[#This Row],[Department]],Table1_2[Date of Joining]),Table1_2[[#This Row],[Date of Joining]])</f>
        <v>42309</v>
      </c>
      <c r="L45">
        <f>IF(Table1_2[[#This Row],[Performance Rating]]="",AVERAGEIF(Table1_2[Department],Table1_2[[#This Row],[Department]],Table1_2[Performance Rating]),Table1_2[[#This Row],[Performance Rating]])</f>
        <v>3.1086956521739131</v>
      </c>
      <c r="M45">
        <f>ROUND(Table1_2[[#This Row],[Performance Rating2]],0)</f>
        <v>3</v>
      </c>
      <c r="N45" t="s">
        <v>181</v>
      </c>
    </row>
    <row r="46" spans="1:14" x14ac:dyDescent="0.35">
      <c r="A46" t="s">
        <v>53</v>
      </c>
      <c r="B46" t="s">
        <v>164</v>
      </c>
      <c r="C46" t="s">
        <v>166</v>
      </c>
      <c r="D46" t="s">
        <v>174</v>
      </c>
      <c r="E46" s="13">
        <v>81610</v>
      </c>
      <c r="F46" s="16">
        <v>42316</v>
      </c>
      <c r="G46">
        <v>1</v>
      </c>
      <c r="I46" t="s">
        <v>223</v>
      </c>
      <c r="J46" s="15">
        <f>IF(Table1_2[[#This Row],[Salary]]="N/A",AVERAGEIF(Table1_2[Department],Table1_2[[#This Row],[Department]],Table1_2[Salary]),Table1_2[[#This Row],[Salary]])</f>
        <v>81610</v>
      </c>
      <c r="K46" s="16">
        <f>IF(Table1_2[[#This Row],[Date of Joining]]="",AVERAGEIF(Table1_2[Department],Table1_2[[#This Row],[Department]],Table1_2[Date of Joining]),Table1_2[[#This Row],[Date of Joining]])</f>
        <v>42316</v>
      </c>
      <c r="L46">
        <f>IF(Table1_2[[#This Row],[Performance Rating]]="",AVERAGEIF(Table1_2[Department],Table1_2[[#This Row],[Department]],Table1_2[Performance Rating]),Table1_2[[#This Row],[Performance Rating]])</f>
        <v>1</v>
      </c>
      <c r="M46">
        <f>ROUND(Table1_2[[#This Row],[Performance Rating2]],0)</f>
        <v>1</v>
      </c>
      <c r="N46" t="s">
        <v>180</v>
      </c>
    </row>
    <row r="47" spans="1:14" x14ac:dyDescent="0.35">
      <c r="A47" t="s">
        <v>54</v>
      </c>
      <c r="B47" t="s">
        <v>178</v>
      </c>
      <c r="C47" t="s">
        <v>167</v>
      </c>
      <c r="D47" t="s">
        <v>174</v>
      </c>
      <c r="E47" s="13">
        <v>58962</v>
      </c>
      <c r="F47" s="16">
        <v>42323</v>
      </c>
      <c r="G47">
        <v>3</v>
      </c>
      <c r="H47" t="s">
        <v>179</v>
      </c>
      <c r="I47" t="s">
        <v>183</v>
      </c>
      <c r="J47" s="15">
        <f>IF(Table1_2[[#This Row],[Salary]]="N/A",AVERAGEIF(Table1_2[Department],Table1_2[[#This Row],[Department]],Table1_2[Salary]),Table1_2[[#This Row],[Salary]])</f>
        <v>58962</v>
      </c>
      <c r="K47" s="16">
        <f>IF(Table1_2[[#This Row],[Date of Joining]]="",AVERAGEIF(Table1_2[Department],Table1_2[[#This Row],[Department]],Table1_2[Date of Joining]),Table1_2[[#This Row],[Date of Joining]])</f>
        <v>42323</v>
      </c>
      <c r="L47">
        <f>IF(Table1_2[[#This Row],[Performance Rating]]="",AVERAGEIF(Table1_2[Department],Table1_2[[#This Row],[Department]],Table1_2[Performance Rating]),Table1_2[[#This Row],[Performance Rating]])</f>
        <v>3</v>
      </c>
      <c r="M47">
        <f>ROUND(Table1_2[[#This Row],[Performance Rating2]],0)</f>
        <v>3</v>
      </c>
      <c r="N47" t="s">
        <v>179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3">
        <v>92701</v>
      </c>
      <c r="F48" s="16">
        <v>42330</v>
      </c>
      <c r="G48">
        <v>3</v>
      </c>
      <c r="H48" t="s">
        <v>179</v>
      </c>
      <c r="I48" t="s">
        <v>224</v>
      </c>
      <c r="J48" s="15">
        <f>IF(Table1_2[[#This Row],[Salary]]="N/A",AVERAGEIF(Table1_2[Department],Table1_2[[#This Row],[Department]],Table1_2[Salary]),Table1_2[[#This Row],[Salary]])</f>
        <v>92701</v>
      </c>
      <c r="K48" s="16">
        <f>IF(Table1_2[[#This Row],[Date of Joining]]="",AVERAGEIF(Table1_2[Department],Table1_2[[#This Row],[Department]],Table1_2[Date of Joining]),Table1_2[[#This Row],[Date of Joining]])</f>
        <v>42330</v>
      </c>
      <c r="L48">
        <f>IF(Table1_2[[#This Row],[Performance Rating]]="",AVERAGEIF(Table1_2[Department],Table1_2[[#This Row],[Department]],Table1_2[Performance Rating]),Table1_2[[#This Row],[Performance Rating]])</f>
        <v>3</v>
      </c>
      <c r="M48">
        <f>ROUND(Table1_2[[#This Row],[Performance Rating2]],0)</f>
        <v>3</v>
      </c>
      <c r="N48" t="s">
        <v>179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3">
        <v>58245</v>
      </c>
      <c r="F49" s="16">
        <v>42337</v>
      </c>
      <c r="G49">
        <v>4</v>
      </c>
      <c r="I49" t="s">
        <v>225</v>
      </c>
      <c r="J49" s="15">
        <f>IF(Table1_2[[#This Row],[Salary]]="N/A",AVERAGEIF(Table1_2[Department],Table1_2[[#This Row],[Department]],Table1_2[Salary]),Table1_2[[#This Row],[Salary]])</f>
        <v>58245</v>
      </c>
      <c r="K49" s="16">
        <f>IF(Table1_2[[#This Row],[Date of Joining]]="",AVERAGEIF(Table1_2[Department],Table1_2[[#This Row],[Department]],Table1_2[Date of Joining]),Table1_2[[#This Row],[Date of Joining]])</f>
        <v>42337</v>
      </c>
      <c r="L49">
        <f>IF(Table1_2[[#This Row],[Performance Rating]]="",AVERAGEIF(Table1_2[Department],Table1_2[[#This Row],[Department]],Table1_2[Performance Rating]),Table1_2[[#This Row],[Performance Rating]])</f>
        <v>4</v>
      </c>
      <c r="M49">
        <f>ROUND(Table1_2[[#This Row],[Performance Rating2]],0)</f>
        <v>4</v>
      </c>
      <c r="N49" t="s">
        <v>180</v>
      </c>
    </row>
    <row r="50" spans="1:14" x14ac:dyDescent="0.35">
      <c r="A50" t="s">
        <v>57</v>
      </c>
      <c r="B50" t="s">
        <v>161</v>
      </c>
      <c r="C50" t="s">
        <v>166</v>
      </c>
      <c r="D50" t="s">
        <v>174</v>
      </c>
      <c r="E50" s="13">
        <v>66513</v>
      </c>
      <c r="F50" s="16">
        <v>42344</v>
      </c>
      <c r="G50">
        <v>2</v>
      </c>
      <c r="H50" t="s">
        <v>179</v>
      </c>
      <c r="I50" t="s">
        <v>187</v>
      </c>
      <c r="J50" s="15">
        <f>IF(Table1_2[[#This Row],[Salary]]="N/A",AVERAGEIF(Table1_2[Department],Table1_2[[#This Row],[Department]],Table1_2[Salary]),Table1_2[[#This Row],[Salary]])</f>
        <v>66513</v>
      </c>
      <c r="K50" s="16">
        <f>IF(Table1_2[[#This Row],[Date of Joining]]="",AVERAGEIF(Table1_2[Department],Table1_2[[#This Row],[Department]],Table1_2[Date of Joining]),Table1_2[[#This Row],[Date of Joining]])</f>
        <v>42344</v>
      </c>
      <c r="L50">
        <f>IF(Table1_2[[#This Row],[Performance Rating]]="",AVERAGEIF(Table1_2[Department],Table1_2[[#This Row],[Department]],Table1_2[Performance Rating]),Table1_2[[#This Row],[Performance Rating]])</f>
        <v>2</v>
      </c>
      <c r="M50">
        <f>ROUND(Table1_2[[#This Row],[Performance Rating2]],0)</f>
        <v>2</v>
      </c>
      <c r="N50" t="s">
        <v>179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3">
        <v>78720</v>
      </c>
      <c r="F51" s="16">
        <v>42351</v>
      </c>
      <c r="G51">
        <v>5</v>
      </c>
      <c r="H51" t="s">
        <v>181</v>
      </c>
      <c r="I51" t="s">
        <v>219</v>
      </c>
      <c r="J51" s="15">
        <f>IF(Table1_2[[#This Row],[Salary]]="N/A",AVERAGEIF(Table1_2[Department],Table1_2[[#This Row],[Department]],Table1_2[Salary]),Table1_2[[#This Row],[Salary]])</f>
        <v>78720</v>
      </c>
      <c r="K51" s="16">
        <f>IF(Table1_2[[#This Row],[Date of Joining]]="",AVERAGEIF(Table1_2[Department],Table1_2[[#This Row],[Department]],Table1_2[Date of Joining]),Table1_2[[#This Row],[Date of Joining]])</f>
        <v>42351</v>
      </c>
      <c r="L51">
        <f>IF(Table1_2[[#This Row],[Performance Rating]]="",AVERAGEIF(Table1_2[Department],Table1_2[[#This Row],[Department]],Table1_2[Performance Rating]),Table1_2[[#This Row],[Performance Rating]])</f>
        <v>5</v>
      </c>
      <c r="M51">
        <f>ROUND(Table1_2[[#This Row],[Performance Rating2]],0)</f>
        <v>5</v>
      </c>
      <c r="N51" t="s">
        <v>181</v>
      </c>
    </row>
    <row r="52" spans="1:14" x14ac:dyDescent="0.35">
      <c r="A52" t="s">
        <v>59</v>
      </c>
      <c r="B52" t="s">
        <v>164</v>
      </c>
      <c r="C52" t="s">
        <v>170</v>
      </c>
      <c r="D52" t="s">
        <v>174</v>
      </c>
      <c r="E52" s="13">
        <v>30686</v>
      </c>
      <c r="F52" s="16"/>
      <c r="G52">
        <v>2</v>
      </c>
      <c r="H52" t="s">
        <v>181</v>
      </c>
      <c r="I52" t="s">
        <v>226</v>
      </c>
      <c r="J52" s="15">
        <f>IF(Table1_2[[#This Row],[Salary]]="N/A",AVERAGEIF(Table1_2[Department],Table1_2[[#This Row],[Department]],Table1_2[Salary]),Table1_2[[#This Row],[Salary]])</f>
        <v>30686</v>
      </c>
      <c r="K52" s="16">
        <f>IF(Table1_2[[#This Row],[Date of Joining]]="",AVERAGEIF(Table1_2[Department],Table1_2[[#This Row],[Department]],Table1_2[Date of Joining]),Table1_2[[#This Row],[Date of Joining]])</f>
        <v>42590</v>
      </c>
      <c r="L52">
        <f>IF(Table1_2[[#This Row],[Performance Rating]]="",AVERAGEIF(Table1_2[Department],Table1_2[[#This Row],[Department]],Table1_2[Performance Rating]),Table1_2[[#This Row],[Performance Rating]])</f>
        <v>2</v>
      </c>
      <c r="M52">
        <f>ROUND(Table1_2[[#This Row],[Performance Rating2]],0)</f>
        <v>2</v>
      </c>
      <c r="N52" t="s">
        <v>181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3">
        <v>39423</v>
      </c>
      <c r="F53" s="16">
        <v>42365</v>
      </c>
      <c r="G53">
        <v>5</v>
      </c>
      <c r="I53" t="s">
        <v>227</v>
      </c>
      <c r="J53" s="15">
        <f>IF(Table1_2[[#This Row],[Salary]]="N/A",AVERAGEIF(Table1_2[Department],Table1_2[[#This Row],[Department]],Table1_2[Salary]),Table1_2[[#This Row],[Salary]])</f>
        <v>39423</v>
      </c>
      <c r="K53" s="16">
        <f>IF(Table1_2[[#This Row],[Date of Joining]]="",AVERAGEIF(Table1_2[Department],Table1_2[[#This Row],[Department]],Table1_2[Date of Joining]),Table1_2[[#This Row],[Date of Joining]])</f>
        <v>42365</v>
      </c>
      <c r="L53">
        <f>IF(Table1_2[[#This Row],[Performance Rating]]="",AVERAGEIF(Table1_2[Department],Table1_2[[#This Row],[Department]],Table1_2[Performance Rating]),Table1_2[[#This Row],[Performance Rating]])</f>
        <v>5</v>
      </c>
      <c r="M53">
        <f>ROUND(Table1_2[[#This Row],[Performance Rating2]],0)</f>
        <v>5</v>
      </c>
      <c r="N53" t="s">
        <v>180</v>
      </c>
    </row>
    <row r="54" spans="1:14" x14ac:dyDescent="0.35">
      <c r="A54" t="s">
        <v>61</v>
      </c>
      <c r="B54" t="s">
        <v>159</v>
      </c>
      <c r="C54" t="s">
        <v>170</v>
      </c>
      <c r="D54" t="s">
        <v>174</v>
      </c>
      <c r="E54" s="13">
        <v>30280</v>
      </c>
      <c r="F54" s="16">
        <v>42372</v>
      </c>
      <c r="G54">
        <v>1</v>
      </c>
      <c r="I54" t="s">
        <v>228</v>
      </c>
      <c r="J54" s="15">
        <f>IF(Table1_2[[#This Row],[Salary]]="N/A",AVERAGEIF(Table1_2[Department],Table1_2[[#This Row],[Department]],Table1_2[Salary]),Table1_2[[#This Row],[Salary]])</f>
        <v>30280</v>
      </c>
      <c r="K54" s="16">
        <f>IF(Table1_2[[#This Row],[Date of Joining]]="",AVERAGEIF(Table1_2[Department],Table1_2[[#This Row],[Department]],Table1_2[Date of Joining]),Table1_2[[#This Row],[Date of Joining]])</f>
        <v>42372</v>
      </c>
      <c r="L54">
        <f>IF(Table1_2[[#This Row],[Performance Rating]]="",AVERAGEIF(Table1_2[Department],Table1_2[[#This Row],[Department]],Table1_2[Performance Rating]),Table1_2[[#This Row],[Performance Rating]])</f>
        <v>1</v>
      </c>
      <c r="M54">
        <f>ROUND(Table1_2[[#This Row],[Performance Rating2]],0)</f>
        <v>1</v>
      </c>
      <c r="N54" t="s">
        <v>180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3">
        <v>33352</v>
      </c>
      <c r="F55" s="16">
        <v>42379</v>
      </c>
      <c r="G55">
        <v>3</v>
      </c>
      <c r="H55" t="s">
        <v>181</v>
      </c>
      <c r="I55" t="s">
        <v>200</v>
      </c>
      <c r="J55" s="15">
        <f>IF(Table1_2[[#This Row],[Salary]]="N/A",AVERAGEIF(Table1_2[Department],Table1_2[[#This Row],[Department]],Table1_2[Salary]),Table1_2[[#This Row],[Salary]])</f>
        <v>33352</v>
      </c>
      <c r="K55" s="16">
        <f>IF(Table1_2[[#This Row],[Date of Joining]]="",AVERAGEIF(Table1_2[Department],Table1_2[[#This Row],[Department]],Table1_2[Date of Joining]),Table1_2[[#This Row],[Date of Joining]])</f>
        <v>42379</v>
      </c>
      <c r="L55">
        <f>IF(Table1_2[[#This Row],[Performance Rating]]="",AVERAGEIF(Table1_2[Department],Table1_2[[#This Row],[Department]],Table1_2[Performance Rating]),Table1_2[[#This Row],[Performance Rating]])</f>
        <v>3</v>
      </c>
      <c r="M55">
        <f>ROUND(Table1_2[[#This Row],[Performance Rating2]],0)</f>
        <v>3</v>
      </c>
      <c r="N55" t="s">
        <v>181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3">
        <v>75633</v>
      </c>
      <c r="F56" s="16">
        <v>42386</v>
      </c>
      <c r="G56">
        <v>5</v>
      </c>
      <c r="H56" t="s">
        <v>179</v>
      </c>
      <c r="I56" t="s">
        <v>229</v>
      </c>
      <c r="J56" s="15">
        <f>IF(Table1_2[[#This Row],[Salary]]="N/A",AVERAGEIF(Table1_2[Department],Table1_2[[#This Row],[Department]],Table1_2[Salary]),Table1_2[[#This Row],[Salary]])</f>
        <v>75633</v>
      </c>
      <c r="K56" s="16">
        <f>IF(Table1_2[[#This Row],[Date of Joining]]="",AVERAGEIF(Table1_2[Department],Table1_2[[#This Row],[Department]],Table1_2[Date of Joining]),Table1_2[[#This Row],[Date of Joining]])</f>
        <v>42386</v>
      </c>
      <c r="L56">
        <f>IF(Table1_2[[#This Row],[Performance Rating]]="",AVERAGEIF(Table1_2[Department],Table1_2[[#This Row],[Department]],Table1_2[Performance Rating]),Table1_2[[#This Row],[Performance Rating]])</f>
        <v>5</v>
      </c>
      <c r="M56">
        <f>ROUND(Table1_2[[#This Row],[Performance Rating2]],0)</f>
        <v>5</v>
      </c>
      <c r="N56" t="s">
        <v>179</v>
      </c>
    </row>
    <row r="57" spans="1:14" x14ac:dyDescent="0.35">
      <c r="A57" t="s">
        <v>64</v>
      </c>
      <c r="B57" t="s">
        <v>164</v>
      </c>
      <c r="C57" t="s">
        <v>170</v>
      </c>
      <c r="D57" t="s">
        <v>173</v>
      </c>
      <c r="E57" s="13">
        <v>74815</v>
      </c>
      <c r="F57" s="16">
        <v>42393</v>
      </c>
      <c r="G57">
        <v>5</v>
      </c>
      <c r="H57" t="s">
        <v>181</v>
      </c>
      <c r="I57" t="s">
        <v>230</v>
      </c>
      <c r="J57" s="15">
        <f>IF(Table1_2[[#This Row],[Salary]]="N/A",AVERAGEIF(Table1_2[Department],Table1_2[[#This Row],[Department]],Table1_2[Salary]),Table1_2[[#This Row],[Salary]])</f>
        <v>74815</v>
      </c>
      <c r="K57" s="16">
        <f>IF(Table1_2[[#This Row],[Date of Joining]]="",AVERAGEIF(Table1_2[Department],Table1_2[[#This Row],[Department]],Table1_2[Date of Joining]),Table1_2[[#This Row],[Date of Joining]])</f>
        <v>42393</v>
      </c>
      <c r="L57">
        <f>IF(Table1_2[[#This Row],[Performance Rating]]="",AVERAGEIF(Table1_2[Department],Table1_2[[#This Row],[Department]],Table1_2[Performance Rating]),Table1_2[[#This Row],[Performance Rating]])</f>
        <v>5</v>
      </c>
      <c r="M57">
        <f>ROUND(Table1_2[[#This Row],[Performance Rating2]],0)</f>
        <v>5</v>
      </c>
      <c r="N57" t="s">
        <v>181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3">
        <v>60011</v>
      </c>
      <c r="F58" s="16">
        <v>42400</v>
      </c>
      <c r="G58">
        <v>1</v>
      </c>
      <c r="H58" t="s">
        <v>180</v>
      </c>
      <c r="I58" t="s">
        <v>231</v>
      </c>
      <c r="J58" s="15">
        <f>IF(Table1_2[[#This Row],[Salary]]="N/A",AVERAGEIF(Table1_2[Department],Table1_2[[#This Row],[Department]],Table1_2[Salary]),Table1_2[[#This Row],[Salary]])</f>
        <v>60011</v>
      </c>
      <c r="K58" s="16">
        <f>IF(Table1_2[[#This Row],[Date of Joining]]="",AVERAGEIF(Table1_2[Department],Table1_2[[#This Row],[Department]],Table1_2[Date of Joining]),Table1_2[[#This Row],[Date of Joining]])</f>
        <v>42400</v>
      </c>
      <c r="L58">
        <f>IF(Table1_2[[#This Row],[Performance Rating]]="",AVERAGEIF(Table1_2[Department],Table1_2[[#This Row],[Department]],Table1_2[Performance Rating]),Table1_2[[#This Row],[Performance Rating]])</f>
        <v>1</v>
      </c>
      <c r="M58">
        <f>ROUND(Table1_2[[#This Row],[Performance Rating2]],0)</f>
        <v>1</v>
      </c>
      <c r="N58" t="s">
        <v>180</v>
      </c>
    </row>
    <row r="59" spans="1:14" x14ac:dyDescent="0.35">
      <c r="A59" t="s">
        <v>66</v>
      </c>
      <c r="B59" t="s">
        <v>159</v>
      </c>
      <c r="C59" t="s">
        <v>170</v>
      </c>
      <c r="D59" t="s">
        <v>174</v>
      </c>
      <c r="E59" s="13">
        <v>96949</v>
      </c>
      <c r="F59" s="16">
        <v>42407</v>
      </c>
      <c r="G59">
        <v>3</v>
      </c>
      <c r="I59" t="s">
        <v>207</v>
      </c>
      <c r="J59" s="15">
        <f>IF(Table1_2[[#This Row],[Salary]]="N/A",AVERAGEIF(Table1_2[Department],Table1_2[[#This Row],[Department]],Table1_2[Salary]),Table1_2[[#This Row],[Salary]])</f>
        <v>96949</v>
      </c>
      <c r="K59" s="16">
        <f>IF(Table1_2[[#This Row],[Date of Joining]]="",AVERAGEIF(Table1_2[Department],Table1_2[[#This Row],[Department]],Table1_2[Date of Joining]),Table1_2[[#This Row],[Date of Joining]])</f>
        <v>42407</v>
      </c>
      <c r="L59">
        <f>IF(Table1_2[[#This Row],[Performance Rating]]="",AVERAGEIF(Table1_2[Department],Table1_2[[#This Row],[Department]],Table1_2[Performance Rating]),Table1_2[[#This Row],[Performance Rating]])</f>
        <v>3</v>
      </c>
      <c r="M59">
        <f>ROUND(Table1_2[[#This Row],[Performance Rating2]],0)</f>
        <v>3</v>
      </c>
      <c r="N59" t="s">
        <v>180</v>
      </c>
    </row>
    <row r="60" spans="1:14" x14ac:dyDescent="0.35">
      <c r="A60" t="s">
        <v>67</v>
      </c>
      <c r="B60" t="s">
        <v>163</v>
      </c>
      <c r="C60" t="s">
        <v>170</v>
      </c>
      <c r="D60" t="s">
        <v>174</v>
      </c>
      <c r="E60" s="13">
        <v>84924</v>
      </c>
      <c r="F60" s="16">
        <v>42414</v>
      </c>
      <c r="G60">
        <v>5</v>
      </c>
      <c r="H60" t="s">
        <v>180</v>
      </c>
      <c r="I60" t="s">
        <v>232</v>
      </c>
      <c r="J60" s="15">
        <f>IF(Table1_2[[#This Row],[Salary]]="N/A",AVERAGEIF(Table1_2[Department],Table1_2[[#This Row],[Department]],Table1_2[Salary]),Table1_2[[#This Row],[Salary]])</f>
        <v>84924</v>
      </c>
      <c r="K60" s="16">
        <f>IF(Table1_2[[#This Row],[Date of Joining]]="",AVERAGEIF(Table1_2[Department],Table1_2[[#This Row],[Department]],Table1_2[Date of Joining]),Table1_2[[#This Row],[Date of Joining]])</f>
        <v>42414</v>
      </c>
      <c r="L60">
        <f>IF(Table1_2[[#This Row],[Performance Rating]]="",AVERAGEIF(Table1_2[Department],Table1_2[[#This Row],[Department]],Table1_2[Performance Rating]),Table1_2[[#This Row],[Performance Rating]])</f>
        <v>5</v>
      </c>
      <c r="M60">
        <f>ROUND(Table1_2[[#This Row],[Performance Rating2]],0)</f>
        <v>5</v>
      </c>
      <c r="N60" t="s">
        <v>180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3">
        <v>82033</v>
      </c>
      <c r="F61" s="16">
        <v>42421</v>
      </c>
      <c r="G61">
        <v>1</v>
      </c>
      <c r="I61" t="s">
        <v>223</v>
      </c>
      <c r="J61" s="15">
        <f>IF(Table1_2[[#This Row],[Salary]]="N/A",AVERAGEIF(Table1_2[Department],Table1_2[[#This Row],[Department]],Table1_2[Salary]),Table1_2[[#This Row],[Salary]])</f>
        <v>82033</v>
      </c>
      <c r="K61" s="16">
        <f>IF(Table1_2[[#This Row],[Date of Joining]]="",AVERAGEIF(Table1_2[Department],Table1_2[[#This Row],[Department]],Table1_2[Date of Joining]),Table1_2[[#This Row],[Date of Joining]])</f>
        <v>42421</v>
      </c>
      <c r="L61">
        <f>IF(Table1_2[[#This Row],[Performance Rating]]="",AVERAGEIF(Table1_2[Department],Table1_2[[#This Row],[Department]],Table1_2[Performance Rating]),Table1_2[[#This Row],[Performance Rating]])</f>
        <v>1</v>
      </c>
      <c r="M61">
        <f>ROUND(Table1_2[[#This Row],[Performance Rating2]],0)</f>
        <v>1</v>
      </c>
      <c r="N61" t="s">
        <v>180</v>
      </c>
    </row>
    <row r="62" spans="1:14" x14ac:dyDescent="0.35">
      <c r="A62" t="s">
        <v>69</v>
      </c>
      <c r="B62" t="s">
        <v>178</v>
      </c>
      <c r="C62" t="s">
        <v>170</v>
      </c>
      <c r="D62" t="s">
        <v>172</v>
      </c>
      <c r="E62" s="13" t="s">
        <v>177</v>
      </c>
      <c r="F62" s="16"/>
      <c r="G62">
        <v>5</v>
      </c>
      <c r="H62" t="s">
        <v>178</v>
      </c>
      <c r="I62" t="s">
        <v>233</v>
      </c>
      <c r="J62" s="15">
        <f>IF(Table1_2[[#This Row],[Salary]]="N/A",AVERAGEIF(Table1_2[Department],Table1_2[[#This Row],[Department]],Table1_2[Salary]),Table1_2[[#This Row],[Salary]])</f>
        <v>65071.98</v>
      </c>
      <c r="K62" s="16">
        <f>IF(Table1_2[[#This Row],[Date of Joining]]="",AVERAGEIF(Table1_2[Department],Table1_2[[#This Row],[Department]],Table1_2[Date of Joining]),Table1_2[[#This Row],[Date of Joining]])</f>
        <v>42590</v>
      </c>
      <c r="L62">
        <f>IF(Table1_2[[#This Row],[Performance Rating]]="",AVERAGEIF(Table1_2[Department],Table1_2[[#This Row],[Department]],Table1_2[Performance Rating]),Table1_2[[#This Row],[Performance Rating]])</f>
        <v>5</v>
      </c>
      <c r="M62">
        <f>ROUND(Table1_2[[#This Row],[Performance Rating2]],0)</f>
        <v>5</v>
      </c>
      <c r="N62" t="s">
        <v>178</v>
      </c>
    </row>
    <row r="63" spans="1:14" x14ac:dyDescent="0.35">
      <c r="A63" t="s">
        <v>70</v>
      </c>
      <c r="B63" t="s">
        <v>159</v>
      </c>
      <c r="C63" t="s">
        <v>170</v>
      </c>
      <c r="D63" t="s">
        <v>176</v>
      </c>
      <c r="E63" s="13">
        <v>31499</v>
      </c>
      <c r="F63" s="16">
        <v>42435</v>
      </c>
      <c r="G63">
        <v>2</v>
      </c>
      <c r="I63" t="s">
        <v>215</v>
      </c>
      <c r="J63" s="15">
        <f>IF(Table1_2[[#This Row],[Salary]]="N/A",AVERAGEIF(Table1_2[Department],Table1_2[[#This Row],[Department]],Table1_2[Salary]),Table1_2[[#This Row],[Salary]])</f>
        <v>31499</v>
      </c>
      <c r="K63" s="16">
        <f>IF(Table1_2[[#This Row],[Date of Joining]]="",AVERAGEIF(Table1_2[Department],Table1_2[[#This Row],[Department]],Table1_2[Date of Joining]),Table1_2[[#This Row],[Date of Joining]])</f>
        <v>42435</v>
      </c>
      <c r="L63">
        <f>IF(Table1_2[[#This Row],[Performance Rating]]="",AVERAGEIF(Table1_2[Department],Table1_2[[#This Row],[Department]],Table1_2[Performance Rating]),Table1_2[[#This Row],[Performance Rating]])</f>
        <v>2</v>
      </c>
      <c r="M63">
        <f>ROUND(Table1_2[[#This Row],[Performance Rating2]],0)</f>
        <v>2</v>
      </c>
      <c r="N63" t="s">
        <v>180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3">
        <v>97981</v>
      </c>
      <c r="F64" s="16">
        <v>42442</v>
      </c>
      <c r="G64">
        <v>5</v>
      </c>
      <c r="H64" t="s">
        <v>181</v>
      </c>
      <c r="I64" t="s">
        <v>234</v>
      </c>
      <c r="J64" s="15">
        <f>IF(Table1_2[[#This Row],[Salary]]="N/A",AVERAGEIF(Table1_2[Department],Table1_2[[#This Row],[Department]],Table1_2[Salary]),Table1_2[[#This Row],[Salary]])</f>
        <v>97981</v>
      </c>
      <c r="K64" s="16">
        <f>IF(Table1_2[[#This Row],[Date of Joining]]="",AVERAGEIF(Table1_2[Department],Table1_2[[#This Row],[Department]],Table1_2[Date of Joining]),Table1_2[[#This Row],[Date of Joining]])</f>
        <v>42442</v>
      </c>
      <c r="L64">
        <f>IF(Table1_2[[#This Row],[Performance Rating]]="",AVERAGEIF(Table1_2[Department],Table1_2[[#This Row],[Department]],Table1_2[Performance Rating]),Table1_2[[#This Row],[Performance Rating]])</f>
        <v>5</v>
      </c>
      <c r="M64">
        <f>ROUND(Table1_2[[#This Row],[Performance Rating2]],0)</f>
        <v>5</v>
      </c>
      <c r="N64" t="s">
        <v>181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3">
        <v>36541</v>
      </c>
      <c r="F65" s="16">
        <v>42449</v>
      </c>
      <c r="G65">
        <v>2</v>
      </c>
      <c r="H65" t="s">
        <v>179</v>
      </c>
      <c r="I65" t="s">
        <v>235</v>
      </c>
      <c r="J65" s="15">
        <f>IF(Table1_2[[#This Row],[Salary]]="N/A",AVERAGEIF(Table1_2[Department],Table1_2[[#This Row],[Department]],Table1_2[Salary]),Table1_2[[#This Row],[Salary]])</f>
        <v>36541</v>
      </c>
      <c r="K65" s="16">
        <f>IF(Table1_2[[#This Row],[Date of Joining]]="",AVERAGEIF(Table1_2[Department],Table1_2[[#This Row],[Department]],Table1_2[Date of Joining]),Table1_2[[#This Row],[Date of Joining]])</f>
        <v>42449</v>
      </c>
      <c r="L65">
        <f>IF(Table1_2[[#This Row],[Performance Rating]]="",AVERAGEIF(Table1_2[Department],Table1_2[[#This Row],[Department]],Table1_2[Performance Rating]),Table1_2[[#This Row],[Performance Rating]])</f>
        <v>2</v>
      </c>
      <c r="M65">
        <f>ROUND(Table1_2[[#This Row],[Performance Rating2]],0)</f>
        <v>2</v>
      </c>
      <c r="N65" t="s">
        <v>179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3">
        <v>84737</v>
      </c>
      <c r="F66" s="16">
        <v>42456</v>
      </c>
      <c r="G66">
        <v>1</v>
      </c>
      <c r="H66" t="s">
        <v>180</v>
      </c>
      <c r="I66" t="s">
        <v>236</v>
      </c>
      <c r="J66" s="15">
        <f>IF(Table1_2[[#This Row],[Salary]]="N/A",AVERAGEIF(Table1_2[Department],Table1_2[[#This Row],[Department]],Table1_2[Salary]),Table1_2[[#This Row],[Salary]])</f>
        <v>84737</v>
      </c>
      <c r="K66" s="16">
        <f>IF(Table1_2[[#This Row],[Date of Joining]]="",AVERAGEIF(Table1_2[Department],Table1_2[[#This Row],[Department]],Table1_2[Date of Joining]),Table1_2[[#This Row],[Date of Joining]])</f>
        <v>42456</v>
      </c>
      <c r="L66">
        <f>IF(Table1_2[[#This Row],[Performance Rating]]="",AVERAGEIF(Table1_2[Department],Table1_2[[#This Row],[Department]],Table1_2[Performance Rating]),Table1_2[[#This Row],[Performance Rating]])</f>
        <v>1</v>
      </c>
      <c r="M66">
        <f>ROUND(Table1_2[[#This Row],[Performance Rating2]],0)</f>
        <v>1</v>
      </c>
      <c r="N66" t="s">
        <v>180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3">
        <v>33468</v>
      </c>
      <c r="F67" s="16">
        <v>42463</v>
      </c>
      <c r="G67">
        <v>4</v>
      </c>
      <c r="H67" t="s">
        <v>180</v>
      </c>
      <c r="I67" t="s">
        <v>237</v>
      </c>
      <c r="J67" s="15">
        <f>IF(Table1_2[[#This Row],[Salary]]="N/A",AVERAGEIF(Table1_2[Department],Table1_2[[#This Row],[Department]],Table1_2[Salary]),Table1_2[[#This Row],[Salary]])</f>
        <v>33468</v>
      </c>
      <c r="K67" s="16">
        <f>IF(Table1_2[[#This Row],[Date of Joining]]="",AVERAGEIF(Table1_2[Department],Table1_2[[#This Row],[Department]],Table1_2[Date of Joining]),Table1_2[[#This Row],[Date of Joining]])</f>
        <v>42463</v>
      </c>
      <c r="L67">
        <f>IF(Table1_2[[#This Row],[Performance Rating]]="",AVERAGEIF(Table1_2[Department],Table1_2[[#This Row],[Department]],Table1_2[Performance Rating]),Table1_2[[#This Row],[Performance Rating]])</f>
        <v>4</v>
      </c>
      <c r="M67">
        <f>ROUND(Table1_2[[#This Row],[Performance Rating2]],0)</f>
        <v>4</v>
      </c>
      <c r="N67" t="s">
        <v>180</v>
      </c>
    </row>
    <row r="68" spans="1:14" x14ac:dyDescent="0.35">
      <c r="A68" t="s">
        <v>75</v>
      </c>
      <c r="B68" t="s">
        <v>163</v>
      </c>
      <c r="C68" t="s">
        <v>170</v>
      </c>
      <c r="D68" t="s">
        <v>176</v>
      </c>
      <c r="E68" s="13">
        <v>96365</v>
      </c>
      <c r="F68" s="16">
        <v>42470</v>
      </c>
      <c r="G68">
        <v>3</v>
      </c>
      <c r="H68" t="s">
        <v>179</v>
      </c>
      <c r="I68" t="s">
        <v>238</v>
      </c>
      <c r="J68" s="15">
        <f>IF(Table1_2[[#This Row],[Salary]]="N/A",AVERAGEIF(Table1_2[Department],Table1_2[[#This Row],[Department]],Table1_2[Salary]),Table1_2[[#This Row],[Salary]])</f>
        <v>96365</v>
      </c>
      <c r="K68" s="16">
        <f>IF(Table1_2[[#This Row],[Date of Joining]]="",AVERAGEIF(Table1_2[Department],Table1_2[[#This Row],[Department]],Table1_2[Date of Joining]),Table1_2[[#This Row],[Date of Joining]])</f>
        <v>42470</v>
      </c>
      <c r="L68">
        <f>IF(Table1_2[[#This Row],[Performance Rating]]="",AVERAGEIF(Table1_2[Department],Table1_2[[#This Row],[Department]],Table1_2[Performance Rating]),Table1_2[[#This Row],[Performance Rating]])</f>
        <v>3</v>
      </c>
      <c r="M68">
        <f>ROUND(Table1_2[[#This Row],[Performance Rating2]],0)</f>
        <v>3</v>
      </c>
      <c r="N68" t="s">
        <v>179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3">
        <v>61942</v>
      </c>
      <c r="F69" s="16">
        <v>42477</v>
      </c>
      <c r="G69">
        <v>3</v>
      </c>
      <c r="H69" t="s">
        <v>181</v>
      </c>
      <c r="I69" t="s">
        <v>239</v>
      </c>
      <c r="J69" s="15">
        <f>IF(Table1_2[[#This Row],[Salary]]="N/A",AVERAGEIF(Table1_2[Department],Table1_2[[#This Row],[Department]],Table1_2[Salary]),Table1_2[[#This Row],[Salary]])</f>
        <v>61942</v>
      </c>
      <c r="K69" s="16">
        <f>IF(Table1_2[[#This Row],[Date of Joining]]="",AVERAGEIF(Table1_2[Department],Table1_2[[#This Row],[Department]],Table1_2[Date of Joining]),Table1_2[[#This Row],[Date of Joining]])</f>
        <v>42477</v>
      </c>
      <c r="L69">
        <f>IF(Table1_2[[#This Row],[Performance Rating]]="",AVERAGEIF(Table1_2[Department],Table1_2[[#This Row],[Department]],Table1_2[Performance Rating]),Table1_2[[#This Row],[Performance Rating]])</f>
        <v>3</v>
      </c>
      <c r="M69">
        <f>ROUND(Table1_2[[#This Row],[Performance Rating2]],0)</f>
        <v>3</v>
      </c>
      <c r="N69" t="s">
        <v>181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3">
        <v>41467</v>
      </c>
      <c r="F70" s="16">
        <v>42484</v>
      </c>
      <c r="G70">
        <v>2</v>
      </c>
      <c r="I70" t="s">
        <v>201</v>
      </c>
      <c r="J70" s="15">
        <f>IF(Table1_2[[#This Row],[Salary]]="N/A",AVERAGEIF(Table1_2[Department],Table1_2[[#This Row],[Department]],Table1_2[Salary]),Table1_2[[#This Row],[Salary]])</f>
        <v>41467</v>
      </c>
      <c r="K70" s="16">
        <f>IF(Table1_2[[#This Row],[Date of Joining]]="",AVERAGEIF(Table1_2[Department],Table1_2[[#This Row],[Department]],Table1_2[Date of Joining]),Table1_2[[#This Row],[Date of Joining]])</f>
        <v>42484</v>
      </c>
      <c r="L70">
        <f>IF(Table1_2[[#This Row],[Performance Rating]]="",AVERAGEIF(Table1_2[Department],Table1_2[[#This Row],[Department]],Table1_2[Performance Rating]),Table1_2[[#This Row],[Performance Rating]])</f>
        <v>2</v>
      </c>
      <c r="M70">
        <f>ROUND(Table1_2[[#This Row],[Performance Rating2]],0)</f>
        <v>2</v>
      </c>
      <c r="N70" t="s">
        <v>180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3">
        <v>77096</v>
      </c>
      <c r="F71" s="16">
        <v>42491</v>
      </c>
      <c r="G71">
        <v>1</v>
      </c>
      <c r="I71" t="s">
        <v>240</v>
      </c>
      <c r="J71" s="15">
        <f>IF(Table1_2[[#This Row],[Salary]]="N/A",AVERAGEIF(Table1_2[Department],Table1_2[[#This Row],[Department]],Table1_2[Salary]),Table1_2[[#This Row],[Salary]])</f>
        <v>77096</v>
      </c>
      <c r="K71" s="16">
        <f>IF(Table1_2[[#This Row],[Date of Joining]]="",AVERAGEIF(Table1_2[Department],Table1_2[[#This Row],[Department]],Table1_2[Date of Joining]),Table1_2[[#This Row],[Date of Joining]])</f>
        <v>42491</v>
      </c>
      <c r="L71">
        <f>IF(Table1_2[[#This Row],[Performance Rating]]="",AVERAGEIF(Table1_2[Department],Table1_2[[#This Row],[Department]],Table1_2[Performance Rating]),Table1_2[[#This Row],[Performance Rating]])</f>
        <v>1</v>
      </c>
      <c r="M71">
        <f>ROUND(Table1_2[[#This Row],[Performance Rating2]],0)</f>
        <v>1</v>
      </c>
      <c r="N71" t="s">
        <v>180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3">
        <v>69952</v>
      </c>
      <c r="F72" s="16">
        <v>42498</v>
      </c>
      <c r="G72">
        <v>5</v>
      </c>
      <c r="H72" t="s">
        <v>181</v>
      </c>
      <c r="I72" t="s">
        <v>182</v>
      </c>
      <c r="J72" s="15">
        <f>IF(Table1_2[[#This Row],[Salary]]="N/A",AVERAGEIF(Table1_2[Department],Table1_2[[#This Row],[Department]],Table1_2[Salary]),Table1_2[[#This Row],[Salary]])</f>
        <v>69952</v>
      </c>
      <c r="K72" s="16">
        <f>IF(Table1_2[[#This Row],[Date of Joining]]="",AVERAGEIF(Table1_2[Department],Table1_2[[#This Row],[Department]],Table1_2[Date of Joining]),Table1_2[[#This Row],[Date of Joining]])</f>
        <v>42498</v>
      </c>
      <c r="L72">
        <f>IF(Table1_2[[#This Row],[Performance Rating]]="",AVERAGEIF(Table1_2[Department],Table1_2[[#This Row],[Department]],Table1_2[Performance Rating]),Table1_2[[#This Row],[Performance Rating]])</f>
        <v>5</v>
      </c>
      <c r="M72">
        <f>ROUND(Table1_2[[#This Row],[Performance Rating2]],0)</f>
        <v>5</v>
      </c>
      <c r="N72" t="s">
        <v>181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3">
        <v>85065</v>
      </c>
      <c r="F73" s="16">
        <v>42505</v>
      </c>
      <c r="G73">
        <v>3</v>
      </c>
      <c r="I73" t="s">
        <v>241</v>
      </c>
      <c r="J73" s="15">
        <f>IF(Table1_2[[#This Row],[Salary]]="N/A",AVERAGEIF(Table1_2[Department],Table1_2[[#This Row],[Department]],Table1_2[Salary]),Table1_2[[#This Row],[Salary]])</f>
        <v>85065</v>
      </c>
      <c r="K73" s="16">
        <f>IF(Table1_2[[#This Row],[Date of Joining]]="",AVERAGEIF(Table1_2[Department],Table1_2[[#This Row],[Department]],Table1_2[Date of Joining]),Table1_2[[#This Row],[Date of Joining]])</f>
        <v>42505</v>
      </c>
      <c r="L73">
        <f>IF(Table1_2[[#This Row],[Performance Rating]]="",AVERAGEIF(Table1_2[Department],Table1_2[[#This Row],[Department]],Table1_2[Performance Rating]),Table1_2[[#This Row],[Performance Rating]])</f>
        <v>3</v>
      </c>
      <c r="M73">
        <f>ROUND(Table1_2[[#This Row],[Performance Rating2]],0)</f>
        <v>3</v>
      </c>
      <c r="N73" t="s">
        <v>180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3">
        <v>56512</v>
      </c>
      <c r="F74" s="16">
        <v>42512</v>
      </c>
      <c r="H74" t="s">
        <v>179</v>
      </c>
      <c r="I74" t="s">
        <v>190</v>
      </c>
      <c r="J74" s="15">
        <f>IF(Table1_2[[#This Row],[Salary]]="N/A",AVERAGEIF(Table1_2[Department],Table1_2[[#This Row],[Department]],Table1_2[Salary]),Table1_2[[#This Row],[Salary]])</f>
        <v>56512</v>
      </c>
      <c r="K74" s="16">
        <f>IF(Table1_2[[#This Row],[Date of Joining]]="",AVERAGEIF(Table1_2[Department],Table1_2[[#This Row],[Department]],Table1_2[Date of Joining]),Table1_2[[#This Row],[Date of Joining]])</f>
        <v>42512</v>
      </c>
      <c r="L74">
        <f>IF(Table1_2[[#This Row],[Performance Rating]]="",AVERAGEIF(Table1_2[Department],Table1_2[[#This Row],[Department]],Table1_2[Performance Rating]),Table1_2[[#This Row],[Performance Rating]])</f>
        <v>3.1086956521739131</v>
      </c>
      <c r="M74">
        <f>ROUND(Table1_2[[#This Row],[Performance Rating2]],0)</f>
        <v>3</v>
      </c>
      <c r="N74" t="s">
        <v>179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3">
        <v>91101</v>
      </c>
      <c r="F75" s="16">
        <v>42519</v>
      </c>
      <c r="G75">
        <v>4</v>
      </c>
      <c r="H75" t="s">
        <v>181</v>
      </c>
      <c r="I75" t="s">
        <v>234</v>
      </c>
      <c r="J75" s="15">
        <f>IF(Table1_2[[#This Row],[Salary]]="N/A",AVERAGEIF(Table1_2[Department],Table1_2[[#This Row],[Department]],Table1_2[Salary]),Table1_2[[#This Row],[Salary]])</f>
        <v>91101</v>
      </c>
      <c r="K75" s="16">
        <f>IF(Table1_2[[#This Row],[Date of Joining]]="",AVERAGEIF(Table1_2[Department],Table1_2[[#This Row],[Department]],Table1_2[Date of Joining]),Table1_2[[#This Row],[Date of Joining]])</f>
        <v>42519</v>
      </c>
      <c r="L75">
        <f>IF(Table1_2[[#This Row],[Performance Rating]]="",AVERAGEIF(Table1_2[Department],Table1_2[[#This Row],[Department]],Table1_2[Performance Rating]),Table1_2[[#This Row],[Performance Rating]])</f>
        <v>4</v>
      </c>
      <c r="M75">
        <f>ROUND(Table1_2[[#This Row],[Performance Rating2]],0)</f>
        <v>4</v>
      </c>
      <c r="N75" t="s">
        <v>181</v>
      </c>
    </row>
    <row r="76" spans="1:14" x14ac:dyDescent="0.35">
      <c r="A76" t="s">
        <v>83</v>
      </c>
      <c r="B76" t="s">
        <v>163</v>
      </c>
      <c r="C76" t="s">
        <v>170</v>
      </c>
      <c r="D76" t="s">
        <v>172</v>
      </c>
      <c r="E76" s="13">
        <v>41243</v>
      </c>
      <c r="F76" s="16">
        <v>42526</v>
      </c>
      <c r="I76" t="s">
        <v>211</v>
      </c>
      <c r="J76" s="15">
        <f>IF(Table1_2[[#This Row],[Salary]]="N/A",AVERAGEIF(Table1_2[Department],Table1_2[[#This Row],[Department]],Table1_2[Salary]),Table1_2[[#This Row],[Salary]])</f>
        <v>41243</v>
      </c>
      <c r="K76" s="16">
        <f>IF(Table1_2[[#This Row],[Date of Joining]]="",AVERAGEIF(Table1_2[Department],Table1_2[[#This Row],[Department]],Table1_2[Date of Joining]),Table1_2[[#This Row],[Date of Joining]])</f>
        <v>42526</v>
      </c>
      <c r="L76">
        <f>IF(Table1_2[[#This Row],[Performance Rating]]="",AVERAGEIF(Table1_2[Department],Table1_2[[#This Row],[Department]],Table1_2[Performance Rating]),Table1_2[[#This Row],[Performance Rating]])</f>
        <v>3.1086956521739131</v>
      </c>
      <c r="M76">
        <f>ROUND(Table1_2[[#This Row],[Performance Rating2]],0)</f>
        <v>3</v>
      </c>
      <c r="N76" t="s">
        <v>180</v>
      </c>
    </row>
    <row r="77" spans="1:14" x14ac:dyDescent="0.35">
      <c r="A77" t="s">
        <v>84</v>
      </c>
      <c r="B77" t="s">
        <v>178</v>
      </c>
      <c r="C77" t="s">
        <v>168</v>
      </c>
      <c r="D77" t="s">
        <v>174</v>
      </c>
      <c r="E77" s="13">
        <v>96142</v>
      </c>
      <c r="F77" s="16">
        <v>42533</v>
      </c>
      <c r="G77">
        <v>1</v>
      </c>
      <c r="H77" t="s">
        <v>179</v>
      </c>
      <c r="I77" t="s">
        <v>242</v>
      </c>
      <c r="J77" s="15">
        <f>IF(Table1_2[[#This Row],[Salary]]="N/A",AVERAGEIF(Table1_2[Department],Table1_2[[#This Row],[Department]],Table1_2[Salary]),Table1_2[[#This Row],[Salary]])</f>
        <v>96142</v>
      </c>
      <c r="K77" s="16">
        <f>IF(Table1_2[[#This Row],[Date of Joining]]="",AVERAGEIF(Table1_2[Department],Table1_2[[#This Row],[Department]],Table1_2[Date of Joining]),Table1_2[[#This Row],[Date of Joining]])</f>
        <v>42533</v>
      </c>
      <c r="L77">
        <f>IF(Table1_2[[#This Row],[Performance Rating]]="",AVERAGEIF(Table1_2[Department],Table1_2[[#This Row],[Department]],Table1_2[Performance Rating]),Table1_2[[#This Row],[Performance Rating]])</f>
        <v>1</v>
      </c>
      <c r="M77">
        <f>ROUND(Table1_2[[#This Row],[Performance Rating2]],0)</f>
        <v>1</v>
      </c>
      <c r="N77" t="s">
        <v>179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3">
        <v>94301</v>
      </c>
      <c r="F78" s="16">
        <v>42540</v>
      </c>
      <c r="G78">
        <v>1</v>
      </c>
      <c r="H78" t="s">
        <v>180</v>
      </c>
      <c r="I78" t="s">
        <v>223</v>
      </c>
      <c r="J78" s="15">
        <f>IF(Table1_2[[#This Row],[Salary]]="N/A",AVERAGEIF(Table1_2[Department],Table1_2[[#This Row],[Department]],Table1_2[Salary]),Table1_2[[#This Row],[Salary]])</f>
        <v>94301</v>
      </c>
      <c r="K78" s="16">
        <f>IF(Table1_2[[#This Row],[Date of Joining]]="",AVERAGEIF(Table1_2[Department],Table1_2[[#This Row],[Department]],Table1_2[Date of Joining]),Table1_2[[#This Row],[Date of Joining]])</f>
        <v>42540</v>
      </c>
      <c r="L78">
        <f>IF(Table1_2[[#This Row],[Performance Rating]]="",AVERAGEIF(Table1_2[Department],Table1_2[[#This Row],[Department]],Table1_2[Performance Rating]),Table1_2[[#This Row],[Performance Rating]])</f>
        <v>1</v>
      </c>
      <c r="M78">
        <f>ROUND(Table1_2[[#This Row],[Performance Rating2]],0)</f>
        <v>1</v>
      </c>
      <c r="N78" t="s">
        <v>180</v>
      </c>
    </row>
    <row r="79" spans="1:14" x14ac:dyDescent="0.35">
      <c r="A79" t="s">
        <v>86</v>
      </c>
      <c r="B79" t="s">
        <v>162</v>
      </c>
      <c r="C79" t="s">
        <v>170</v>
      </c>
      <c r="D79" t="s">
        <v>175</v>
      </c>
      <c r="E79" s="13">
        <v>69166</v>
      </c>
      <c r="F79" s="16">
        <v>42547</v>
      </c>
      <c r="G79">
        <v>1</v>
      </c>
      <c r="H79" t="s">
        <v>181</v>
      </c>
      <c r="I79" t="s">
        <v>243</v>
      </c>
      <c r="J79" s="15">
        <f>IF(Table1_2[[#This Row],[Salary]]="N/A",AVERAGEIF(Table1_2[Department],Table1_2[[#This Row],[Department]],Table1_2[Salary]),Table1_2[[#This Row],[Salary]])</f>
        <v>69166</v>
      </c>
      <c r="K79" s="16">
        <f>IF(Table1_2[[#This Row],[Date of Joining]]="",AVERAGEIF(Table1_2[Department],Table1_2[[#This Row],[Department]],Table1_2[Date of Joining]),Table1_2[[#This Row],[Date of Joining]])</f>
        <v>42547</v>
      </c>
      <c r="L79">
        <f>IF(Table1_2[[#This Row],[Performance Rating]]="",AVERAGEIF(Table1_2[Department],Table1_2[[#This Row],[Department]],Table1_2[Performance Rating]),Table1_2[[#This Row],[Performance Rating]])</f>
        <v>1</v>
      </c>
      <c r="M79">
        <f>ROUND(Table1_2[[#This Row],[Performance Rating2]],0)</f>
        <v>1</v>
      </c>
      <c r="N79" t="s">
        <v>181</v>
      </c>
    </row>
    <row r="80" spans="1:14" x14ac:dyDescent="0.35">
      <c r="A80" t="s">
        <v>87</v>
      </c>
      <c r="B80" t="s">
        <v>163</v>
      </c>
      <c r="C80" t="s">
        <v>170</v>
      </c>
      <c r="D80" t="s">
        <v>175</v>
      </c>
      <c r="E80" s="13">
        <v>78245</v>
      </c>
      <c r="F80" s="16">
        <v>42554</v>
      </c>
      <c r="G80">
        <v>2</v>
      </c>
      <c r="I80" t="s">
        <v>244</v>
      </c>
      <c r="J80" s="15">
        <f>IF(Table1_2[[#This Row],[Salary]]="N/A",AVERAGEIF(Table1_2[Department],Table1_2[[#This Row],[Department]],Table1_2[Salary]),Table1_2[[#This Row],[Salary]])</f>
        <v>78245</v>
      </c>
      <c r="K80" s="16">
        <f>IF(Table1_2[[#This Row],[Date of Joining]]="",AVERAGEIF(Table1_2[Department],Table1_2[[#This Row],[Department]],Table1_2[Date of Joining]),Table1_2[[#This Row],[Date of Joining]])</f>
        <v>42554</v>
      </c>
      <c r="L80">
        <f>IF(Table1_2[[#This Row],[Performance Rating]]="",AVERAGEIF(Table1_2[Department],Table1_2[[#This Row],[Department]],Table1_2[Performance Rating]),Table1_2[[#This Row],[Performance Rating]])</f>
        <v>2</v>
      </c>
      <c r="M80">
        <f>ROUND(Table1_2[[#This Row],[Performance Rating2]],0)</f>
        <v>2</v>
      </c>
      <c r="N80" t="s">
        <v>180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3">
        <v>66079</v>
      </c>
      <c r="F81" s="16">
        <v>42561</v>
      </c>
      <c r="G81">
        <v>2</v>
      </c>
      <c r="H81" t="s">
        <v>179</v>
      </c>
      <c r="I81" t="s">
        <v>245</v>
      </c>
      <c r="J81" s="15">
        <f>IF(Table1_2[[#This Row],[Salary]]="N/A",AVERAGEIF(Table1_2[Department],Table1_2[[#This Row],[Department]],Table1_2[Salary]),Table1_2[[#This Row],[Salary]])</f>
        <v>66079</v>
      </c>
      <c r="K81" s="16">
        <f>IF(Table1_2[[#This Row],[Date of Joining]]="",AVERAGEIF(Table1_2[Department],Table1_2[[#This Row],[Department]],Table1_2[Date of Joining]),Table1_2[[#This Row],[Date of Joining]])</f>
        <v>42561</v>
      </c>
      <c r="L81">
        <f>IF(Table1_2[[#This Row],[Performance Rating]]="",AVERAGEIF(Table1_2[Department],Table1_2[[#This Row],[Department]],Table1_2[Performance Rating]),Table1_2[[#This Row],[Performance Rating]])</f>
        <v>2</v>
      </c>
      <c r="M81">
        <f>ROUND(Table1_2[[#This Row],[Performance Rating2]],0)</f>
        <v>2</v>
      </c>
      <c r="N81" t="s">
        <v>179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3" t="s">
        <v>177</v>
      </c>
      <c r="F82" s="16"/>
      <c r="I82" t="s">
        <v>208</v>
      </c>
      <c r="J82" s="15">
        <f>IF(Table1_2[[#This Row],[Salary]]="N/A",AVERAGEIF(Table1_2[Department],Table1_2[[#This Row],[Department]],Table1_2[Salary]),Table1_2[[#This Row],[Salary]])</f>
        <v>65071.98</v>
      </c>
      <c r="K82" s="16">
        <f>IF(Table1_2[[#This Row],[Date of Joining]]="",AVERAGEIF(Table1_2[Department],Table1_2[[#This Row],[Department]],Table1_2[Date of Joining]),Table1_2[[#This Row],[Date of Joining]])</f>
        <v>42590</v>
      </c>
      <c r="L82">
        <f>IF(Table1_2[[#This Row],[Performance Rating]]="",AVERAGEIF(Table1_2[Department],Table1_2[[#This Row],[Department]],Table1_2[Performance Rating]),Table1_2[[#This Row],[Performance Rating]])</f>
        <v>3.1086956521739131</v>
      </c>
      <c r="M82">
        <f>ROUND(Table1_2[[#This Row],[Performance Rating2]],0)</f>
        <v>3</v>
      </c>
      <c r="N82" t="s">
        <v>180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3">
        <v>95621</v>
      </c>
      <c r="F83" s="16">
        <v>42575</v>
      </c>
      <c r="G83">
        <v>3</v>
      </c>
      <c r="H83" t="s">
        <v>181</v>
      </c>
      <c r="I83" t="s">
        <v>246</v>
      </c>
      <c r="J83" s="15">
        <f>IF(Table1_2[[#This Row],[Salary]]="N/A",AVERAGEIF(Table1_2[Department],Table1_2[[#This Row],[Department]],Table1_2[Salary]),Table1_2[[#This Row],[Salary]])</f>
        <v>95621</v>
      </c>
      <c r="K83" s="16">
        <f>IF(Table1_2[[#This Row],[Date of Joining]]="",AVERAGEIF(Table1_2[Department],Table1_2[[#This Row],[Department]],Table1_2[Date of Joining]),Table1_2[[#This Row],[Date of Joining]])</f>
        <v>42575</v>
      </c>
      <c r="L83">
        <f>IF(Table1_2[[#This Row],[Performance Rating]]="",AVERAGEIF(Table1_2[Department],Table1_2[[#This Row],[Department]],Table1_2[Performance Rating]),Table1_2[[#This Row],[Performance Rating]])</f>
        <v>3</v>
      </c>
      <c r="M83">
        <f>ROUND(Table1_2[[#This Row],[Performance Rating2]],0)</f>
        <v>3</v>
      </c>
      <c r="N83" t="s">
        <v>181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3">
        <v>42262</v>
      </c>
      <c r="F84" s="16">
        <v>42582</v>
      </c>
      <c r="G84">
        <v>1</v>
      </c>
      <c r="I84" t="s">
        <v>247</v>
      </c>
      <c r="J84" s="15">
        <f>IF(Table1_2[[#This Row],[Salary]]="N/A",AVERAGEIF(Table1_2[Department],Table1_2[[#This Row],[Department]],Table1_2[Salary]),Table1_2[[#This Row],[Salary]])</f>
        <v>42262</v>
      </c>
      <c r="K84" s="16">
        <f>IF(Table1_2[[#This Row],[Date of Joining]]="",AVERAGEIF(Table1_2[Department],Table1_2[[#This Row],[Department]],Table1_2[Date of Joining]),Table1_2[[#This Row],[Date of Joining]])</f>
        <v>42582</v>
      </c>
      <c r="L84">
        <f>IF(Table1_2[[#This Row],[Performance Rating]]="",AVERAGEIF(Table1_2[Department],Table1_2[[#This Row],[Department]],Table1_2[Performance Rating]),Table1_2[[#This Row],[Performance Rating]])</f>
        <v>1</v>
      </c>
      <c r="M84">
        <f>ROUND(Table1_2[[#This Row],[Performance Rating2]],0)</f>
        <v>1</v>
      </c>
      <c r="N84" t="s">
        <v>180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3">
        <v>99621</v>
      </c>
      <c r="F85" s="16">
        <v>42589</v>
      </c>
      <c r="H85" t="s">
        <v>179</v>
      </c>
      <c r="I85" t="s">
        <v>248</v>
      </c>
      <c r="J85" s="15">
        <f>IF(Table1_2[[#This Row],[Salary]]="N/A",AVERAGEIF(Table1_2[Department],Table1_2[[#This Row],[Department]],Table1_2[Salary]),Table1_2[[#This Row],[Salary]])</f>
        <v>99621</v>
      </c>
      <c r="K85" s="16">
        <f>IF(Table1_2[[#This Row],[Date of Joining]]="",AVERAGEIF(Table1_2[Department],Table1_2[[#This Row],[Department]],Table1_2[Date of Joining]),Table1_2[[#This Row],[Date of Joining]])</f>
        <v>42589</v>
      </c>
      <c r="L85">
        <f>IF(Table1_2[[#This Row],[Performance Rating]]="",AVERAGEIF(Table1_2[Department],Table1_2[[#This Row],[Department]],Table1_2[Performance Rating]),Table1_2[[#This Row],[Performance Rating]])</f>
        <v>2.7272727272727271</v>
      </c>
      <c r="M85">
        <f>ROUND(Table1_2[[#This Row],[Performance Rating2]],0)</f>
        <v>3</v>
      </c>
      <c r="N85" t="s">
        <v>179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3">
        <v>44682</v>
      </c>
      <c r="F86" s="16">
        <v>42596</v>
      </c>
      <c r="G86">
        <v>4</v>
      </c>
      <c r="H86" t="s">
        <v>181</v>
      </c>
      <c r="I86" t="s">
        <v>220</v>
      </c>
      <c r="J86" s="15">
        <f>IF(Table1_2[[#This Row],[Salary]]="N/A",AVERAGEIF(Table1_2[Department],Table1_2[[#This Row],[Department]],Table1_2[Salary]),Table1_2[[#This Row],[Salary]])</f>
        <v>44682</v>
      </c>
      <c r="K86" s="16">
        <f>IF(Table1_2[[#This Row],[Date of Joining]]="",AVERAGEIF(Table1_2[Department],Table1_2[[#This Row],[Department]],Table1_2[Date of Joining]),Table1_2[[#This Row],[Date of Joining]])</f>
        <v>42596</v>
      </c>
      <c r="L86">
        <f>IF(Table1_2[[#This Row],[Performance Rating]]="",AVERAGEIF(Table1_2[Department],Table1_2[[#This Row],[Department]],Table1_2[Performance Rating]),Table1_2[[#This Row],[Performance Rating]])</f>
        <v>4</v>
      </c>
      <c r="M86">
        <f>ROUND(Table1_2[[#This Row],[Performance Rating2]],0)</f>
        <v>4</v>
      </c>
      <c r="N86" t="s">
        <v>181</v>
      </c>
    </row>
    <row r="87" spans="1:14" x14ac:dyDescent="0.35">
      <c r="A87" t="s">
        <v>94</v>
      </c>
      <c r="B87" t="s">
        <v>164</v>
      </c>
      <c r="C87" t="s">
        <v>166</v>
      </c>
      <c r="D87" t="s">
        <v>174</v>
      </c>
      <c r="E87" s="13">
        <v>35163</v>
      </c>
      <c r="F87" s="16">
        <v>42603</v>
      </c>
      <c r="G87">
        <v>5</v>
      </c>
      <c r="H87" t="s">
        <v>179</v>
      </c>
      <c r="I87" t="s">
        <v>249</v>
      </c>
      <c r="J87" s="15">
        <f>IF(Table1_2[[#This Row],[Salary]]="N/A",AVERAGEIF(Table1_2[Department],Table1_2[[#This Row],[Department]],Table1_2[Salary]),Table1_2[[#This Row],[Salary]])</f>
        <v>35163</v>
      </c>
      <c r="K87" s="16">
        <f>IF(Table1_2[[#This Row],[Date of Joining]]="",AVERAGEIF(Table1_2[Department],Table1_2[[#This Row],[Department]],Table1_2[Date of Joining]),Table1_2[[#This Row],[Date of Joining]])</f>
        <v>42603</v>
      </c>
      <c r="L87">
        <f>IF(Table1_2[[#This Row],[Performance Rating]]="",AVERAGEIF(Table1_2[Department],Table1_2[[#This Row],[Department]],Table1_2[Performance Rating]),Table1_2[[#This Row],[Performance Rating]])</f>
        <v>5</v>
      </c>
      <c r="M87">
        <f>ROUND(Table1_2[[#This Row],[Performance Rating2]],0)</f>
        <v>5</v>
      </c>
      <c r="N87" t="s">
        <v>179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3">
        <v>33483</v>
      </c>
      <c r="F88" s="16">
        <v>42610</v>
      </c>
      <c r="G88">
        <v>4</v>
      </c>
      <c r="H88" t="s">
        <v>180</v>
      </c>
      <c r="I88" t="s">
        <v>250</v>
      </c>
      <c r="J88" s="15">
        <f>IF(Table1_2[[#This Row],[Salary]]="N/A",AVERAGEIF(Table1_2[Department],Table1_2[[#This Row],[Department]],Table1_2[Salary]),Table1_2[[#This Row],[Salary]])</f>
        <v>33483</v>
      </c>
      <c r="K88" s="16">
        <f>IF(Table1_2[[#This Row],[Date of Joining]]="",AVERAGEIF(Table1_2[Department],Table1_2[[#This Row],[Department]],Table1_2[Date of Joining]),Table1_2[[#This Row],[Date of Joining]])</f>
        <v>42610</v>
      </c>
      <c r="L88">
        <f>IF(Table1_2[[#This Row],[Performance Rating]]="",AVERAGEIF(Table1_2[Department],Table1_2[[#This Row],[Department]],Table1_2[Performance Rating]),Table1_2[[#This Row],[Performance Rating]])</f>
        <v>4</v>
      </c>
      <c r="M88">
        <f>ROUND(Table1_2[[#This Row],[Performance Rating2]],0)</f>
        <v>4</v>
      </c>
      <c r="N88" t="s">
        <v>180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3">
        <v>55303</v>
      </c>
      <c r="F89" s="16">
        <v>42617</v>
      </c>
      <c r="G89">
        <v>4</v>
      </c>
      <c r="H89" t="s">
        <v>180</v>
      </c>
      <c r="I89" t="s">
        <v>203</v>
      </c>
      <c r="J89" s="15">
        <f>IF(Table1_2[[#This Row],[Salary]]="N/A",AVERAGEIF(Table1_2[Department],Table1_2[[#This Row],[Department]],Table1_2[Salary]),Table1_2[[#This Row],[Salary]])</f>
        <v>55303</v>
      </c>
      <c r="K89" s="16">
        <f>IF(Table1_2[[#This Row],[Date of Joining]]="",AVERAGEIF(Table1_2[Department],Table1_2[[#This Row],[Department]],Table1_2[Date of Joining]),Table1_2[[#This Row],[Date of Joining]])</f>
        <v>42617</v>
      </c>
      <c r="L89">
        <f>IF(Table1_2[[#This Row],[Performance Rating]]="",AVERAGEIF(Table1_2[Department],Table1_2[[#This Row],[Department]],Table1_2[Performance Rating]),Table1_2[[#This Row],[Performance Rating]])</f>
        <v>4</v>
      </c>
      <c r="M89">
        <f>ROUND(Table1_2[[#This Row],[Performance Rating2]],0)</f>
        <v>4</v>
      </c>
      <c r="N89" t="s">
        <v>180</v>
      </c>
    </row>
    <row r="90" spans="1:14" x14ac:dyDescent="0.35">
      <c r="A90" t="s">
        <v>97</v>
      </c>
      <c r="B90" t="s">
        <v>164</v>
      </c>
      <c r="C90" t="s">
        <v>169</v>
      </c>
      <c r="D90" t="s">
        <v>174</v>
      </c>
      <c r="E90" s="13">
        <v>63434</v>
      </c>
      <c r="F90" s="16">
        <v>42624</v>
      </c>
      <c r="G90">
        <v>3</v>
      </c>
      <c r="I90" t="s">
        <v>251</v>
      </c>
      <c r="J90" s="15">
        <f>IF(Table1_2[[#This Row],[Salary]]="N/A",AVERAGEIF(Table1_2[Department],Table1_2[[#This Row],[Department]],Table1_2[Salary]),Table1_2[[#This Row],[Salary]])</f>
        <v>63434</v>
      </c>
      <c r="K90" s="16">
        <f>IF(Table1_2[[#This Row],[Date of Joining]]="",AVERAGEIF(Table1_2[Department],Table1_2[[#This Row],[Department]],Table1_2[Date of Joining]),Table1_2[[#This Row],[Date of Joining]])</f>
        <v>42624</v>
      </c>
      <c r="L90">
        <f>IF(Table1_2[[#This Row],[Performance Rating]]="",AVERAGEIF(Table1_2[Department],Table1_2[[#This Row],[Department]],Table1_2[Performance Rating]),Table1_2[[#This Row],[Performance Rating]])</f>
        <v>3</v>
      </c>
      <c r="M90">
        <f>ROUND(Table1_2[[#This Row],[Performance Rating2]],0)</f>
        <v>3</v>
      </c>
      <c r="N90" t="s">
        <v>180</v>
      </c>
    </row>
    <row r="91" spans="1:14" x14ac:dyDescent="0.35">
      <c r="A91" t="s">
        <v>98</v>
      </c>
      <c r="B91" t="s">
        <v>162</v>
      </c>
      <c r="C91" t="s">
        <v>170</v>
      </c>
      <c r="D91" t="s">
        <v>176</v>
      </c>
      <c r="E91" s="13">
        <v>38830</v>
      </c>
      <c r="F91" s="16">
        <v>42631</v>
      </c>
      <c r="G91">
        <v>3</v>
      </c>
      <c r="H91" t="s">
        <v>179</v>
      </c>
      <c r="I91" t="s">
        <v>203</v>
      </c>
      <c r="J91" s="15">
        <f>IF(Table1_2[[#This Row],[Salary]]="N/A",AVERAGEIF(Table1_2[Department],Table1_2[[#This Row],[Department]],Table1_2[Salary]),Table1_2[[#This Row],[Salary]])</f>
        <v>38830</v>
      </c>
      <c r="K91" s="16">
        <f>IF(Table1_2[[#This Row],[Date of Joining]]="",AVERAGEIF(Table1_2[Department],Table1_2[[#This Row],[Department]],Table1_2[Date of Joining]),Table1_2[[#This Row],[Date of Joining]])</f>
        <v>42631</v>
      </c>
      <c r="L91">
        <f>IF(Table1_2[[#This Row],[Performance Rating]]="",AVERAGEIF(Table1_2[Department],Table1_2[[#This Row],[Department]],Table1_2[Performance Rating]),Table1_2[[#This Row],[Performance Rating]])</f>
        <v>3</v>
      </c>
      <c r="M91">
        <f>ROUND(Table1_2[[#This Row],[Performance Rating2]],0)</f>
        <v>3</v>
      </c>
      <c r="N91" t="s">
        <v>179</v>
      </c>
    </row>
    <row r="92" spans="1:14" x14ac:dyDescent="0.35">
      <c r="A92" t="s">
        <v>99</v>
      </c>
      <c r="B92" t="s">
        <v>178</v>
      </c>
      <c r="C92" t="s">
        <v>170</v>
      </c>
      <c r="D92" t="s">
        <v>175</v>
      </c>
      <c r="E92" s="13">
        <v>50741</v>
      </c>
      <c r="F92" s="16">
        <v>42638</v>
      </c>
      <c r="G92">
        <v>3</v>
      </c>
      <c r="H92" t="s">
        <v>178</v>
      </c>
      <c r="I92" t="s">
        <v>240</v>
      </c>
      <c r="J92" s="15">
        <f>IF(Table1_2[[#This Row],[Salary]]="N/A",AVERAGEIF(Table1_2[Department],Table1_2[[#This Row],[Department]],Table1_2[Salary]),Table1_2[[#This Row],[Salary]])</f>
        <v>50741</v>
      </c>
      <c r="K92" s="16">
        <f>IF(Table1_2[[#This Row],[Date of Joining]]="",AVERAGEIF(Table1_2[Department],Table1_2[[#This Row],[Department]],Table1_2[Date of Joining]),Table1_2[[#This Row],[Date of Joining]])</f>
        <v>42638</v>
      </c>
      <c r="L92">
        <f>IF(Table1_2[[#This Row],[Performance Rating]]="",AVERAGEIF(Table1_2[Department],Table1_2[[#This Row],[Department]],Table1_2[Performance Rating]),Table1_2[[#This Row],[Performance Rating]])</f>
        <v>3</v>
      </c>
      <c r="M92">
        <f>ROUND(Table1_2[[#This Row],[Performance Rating2]],0)</f>
        <v>3</v>
      </c>
      <c r="N92" t="s">
        <v>178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3">
        <v>69420</v>
      </c>
      <c r="F93" s="16">
        <v>42645</v>
      </c>
      <c r="G93">
        <v>1</v>
      </c>
      <c r="H93" t="s">
        <v>180</v>
      </c>
      <c r="I93" t="s">
        <v>225</v>
      </c>
      <c r="J93" s="15">
        <f>IF(Table1_2[[#This Row],[Salary]]="N/A",AVERAGEIF(Table1_2[Department],Table1_2[[#This Row],[Department]],Table1_2[Salary]),Table1_2[[#This Row],[Salary]])</f>
        <v>69420</v>
      </c>
      <c r="K93" s="16">
        <f>IF(Table1_2[[#This Row],[Date of Joining]]="",AVERAGEIF(Table1_2[Department],Table1_2[[#This Row],[Department]],Table1_2[Date of Joining]),Table1_2[[#This Row],[Date of Joining]])</f>
        <v>42645</v>
      </c>
      <c r="L93">
        <f>IF(Table1_2[[#This Row],[Performance Rating]]="",AVERAGEIF(Table1_2[Department],Table1_2[[#This Row],[Department]],Table1_2[Performance Rating]),Table1_2[[#This Row],[Performance Rating]])</f>
        <v>1</v>
      </c>
      <c r="M93">
        <f>ROUND(Table1_2[[#This Row],[Performance Rating2]],0)</f>
        <v>1</v>
      </c>
      <c r="N93" t="s">
        <v>180</v>
      </c>
    </row>
    <row r="94" spans="1:14" x14ac:dyDescent="0.35">
      <c r="A94" t="s">
        <v>101</v>
      </c>
      <c r="B94" t="s">
        <v>162</v>
      </c>
      <c r="C94" t="s">
        <v>169</v>
      </c>
      <c r="D94" t="s">
        <v>174</v>
      </c>
      <c r="E94" s="13">
        <v>80588</v>
      </c>
      <c r="F94" s="16">
        <v>42652</v>
      </c>
      <c r="G94">
        <v>5</v>
      </c>
      <c r="H94" t="s">
        <v>180</v>
      </c>
      <c r="I94" t="s">
        <v>216</v>
      </c>
      <c r="J94" s="15">
        <f>IF(Table1_2[[#This Row],[Salary]]="N/A",AVERAGEIF(Table1_2[Department],Table1_2[[#This Row],[Department]],Table1_2[Salary]),Table1_2[[#This Row],[Salary]])</f>
        <v>80588</v>
      </c>
      <c r="K94" s="16">
        <f>IF(Table1_2[[#This Row],[Date of Joining]]="",AVERAGEIF(Table1_2[Department],Table1_2[[#This Row],[Department]],Table1_2[Date of Joining]),Table1_2[[#This Row],[Date of Joining]])</f>
        <v>42652</v>
      </c>
      <c r="L94">
        <f>IF(Table1_2[[#This Row],[Performance Rating]]="",AVERAGEIF(Table1_2[Department],Table1_2[[#This Row],[Department]],Table1_2[Performance Rating]),Table1_2[[#This Row],[Performance Rating]])</f>
        <v>5</v>
      </c>
      <c r="M94">
        <f>ROUND(Table1_2[[#This Row],[Performance Rating2]],0)</f>
        <v>5</v>
      </c>
      <c r="N94" t="s">
        <v>180</v>
      </c>
    </row>
    <row r="95" spans="1:14" x14ac:dyDescent="0.35">
      <c r="A95" t="s">
        <v>102</v>
      </c>
      <c r="B95" t="s">
        <v>160</v>
      </c>
      <c r="C95" t="s">
        <v>170</v>
      </c>
      <c r="D95" t="s">
        <v>173</v>
      </c>
      <c r="E95" s="13">
        <v>76238</v>
      </c>
      <c r="F95" s="16">
        <v>42659</v>
      </c>
      <c r="G95">
        <v>4</v>
      </c>
      <c r="H95" t="s">
        <v>180</v>
      </c>
      <c r="I95" t="s">
        <v>252</v>
      </c>
      <c r="J95" s="15">
        <f>IF(Table1_2[[#This Row],[Salary]]="N/A",AVERAGEIF(Table1_2[Department],Table1_2[[#This Row],[Department]],Table1_2[Salary]),Table1_2[[#This Row],[Salary]])</f>
        <v>76238</v>
      </c>
      <c r="K95" s="16">
        <f>IF(Table1_2[[#This Row],[Date of Joining]]="",AVERAGEIF(Table1_2[Department],Table1_2[[#This Row],[Department]],Table1_2[Date of Joining]),Table1_2[[#This Row],[Date of Joining]])</f>
        <v>42659</v>
      </c>
      <c r="L95">
        <f>IF(Table1_2[[#This Row],[Performance Rating]]="",AVERAGEIF(Table1_2[Department],Table1_2[[#This Row],[Department]],Table1_2[Performance Rating]),Table1_2[[#This Row],[Performance Rating]])</f>
        <v>4</v>
      </c>
      <c r="M95">
        <f>ROUND(Table1_2[[#This Row],[Performance Rating2]],0)</f>
        <v>4</v>
      </c>
      <c r="N95" t="s">
        <v>180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3">
        <v>33264</v>
      </c>
      <c r="F96" s="16">
        <v>42666</v>
      </c>
      <c r="H96" t="s">
        <v>181</v>
      </c>
      <c r="I96" t="s">
        <v>253</v>
      </c>
      <c r="J96" s="15">
        <f>IF(Table1_2[[#This Row],[Salary]]="N/A",AVERAGEIF(Table1_2[Department],Table1_2[[#This Row],[Department]],Table1_2[Salary]),Table1_2[[#This Row],[Salary]])</f>
        <v>33264</v>
      </c>
      <c r="K96" s="16">
        <f>IF(Table1_2[[#This Row],[Date of Joining]]="",AVERAGEIF(Table1_2[Department],Table1_2[[#This Row],[Department]],Table1_2[Date of Joining]),Table1_2[[#This Row],[Date of Joining]])</f>
        <v>42666</v>
      </c>
      <c r="L96">
        <f>IF(Table1_2[[#This Row],[Performance Rating]]="",AVERAGEIF(Table1_2[Department],Table1_2[[#This Row],[Department]],Table1_2[Performance Rating]),Table1_2[[#This Row],[Performance Rating]])</f>
        <v>2.9444444444444446</v>
      </c>
      <c r="M96">
        <f>ROUND(Table1_2[[#This Row],[Performance Rating2]],0)</f>
        <v>3</v>
      </c>
      <c r="N96" t="s">
        <v>181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3">
        <v>96101</v>
      </c>
      <c r="F97" s="16">
        <v>42673</v>
      </c>
      <c r="H97" t="s">
        <v>179</v>
      </c>
      <c r="I97" t="s">
        <v>254</v>
      </c>
      <c r="J97" s="15">
        <f>IF(Table1_2[[#This Row],[Salary]]="N/A",AVERAGEIF(Table1_2[Department],Table1_2[[#This Row],[Department]],Table1_2[Salary]),Table1_2[[#This Row],[Salary]])</f>
        <v>96101</v>
      </c>
      <c r="K97" s="16">
        <f>IF(Table1_2[[#This Row],[Date of Joining]]="",AVERAGEIF(Table1_2[Department],Table1_2[[#This Row],[Department]],Table1_2[Date of Joining]),Table1_2[[#This Row],[Date of Joining]])</f>
        <v>42673</v>
      </c>
      <c r="L97">
        <f>IF(Table1_2[[#This Row],[Performance Rating]]="",AVERAGEIF(Table1_2[Department],Table1_2[[#This Row],[Department]],Table1_2[Performance Rating]),Table1_2[[#This Row],[Performance Rating]])</f>
        <v>2.5789473684210527</v>
      </c>
      <c r="M97">
        <f>ROUND(Table1_2[[#This Row],[Performance Rating2]],0)</f>
        <v>3</v>
      </c>
      <c r="N97" t="s">
        <v>179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3">
        <v>72939</v>
      </c>
      <c r="F98" s="16">
        <v>42680</v>
      </c>
      <c r="G98">
        <v>3</v>
      </c>
      <c r="I98" t="s">
        <v>255</v>
      </c>
      <c r="J98" s="15">
        <f>IF(Table1_2[[#This Row],[Salary]]="N/A",AVERAGEIF(Table1_2[Department],Table1_2[[#This Row],[Department]],Table1_2[Salary]),Table1_2[[#This Row],[Salary]])</f>
        <v>72939</v>
      </c>
      <c r="K98" s="16">
        <f>IF(Table1_2[[#This Row],[Date of Joining]]="",AVERAGEIF(Table1_2[Department],Table1_2[[#This Row],[Department]],Table1_2[Date of Joining]),Table1_2[[#This Row],[Date of Joining]])</f>
        <v>42680</v>
      </c>
      <c r="L98">
        <f>IF(Table1_2[[#This Row],[Performance Rating]]="",AVERAGEIF(Table1_2[Department],Table1_2[[#This Row],[Department]],Table1_2[Performance Rating]),Table1_2[[#This Row],[Performance Rating]])</f>
        <v>3</v>
      </c>
      <c r="M98">
        <f>ROUND(Table1_2[[#This Row],[Performance Rating2]],0)</f>
        <v>3</v>
      </c>
      <c r="N98" t="s">
        <v>180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3">
        <v>89333</v>
      </c>
      <c r="F99" s="16">
        <v>42687</v>
      </c>
      <c r="G99">
        <v>1</v>
      </c>
      <c r="H99" t="s">
        <v>180</v>
      </c>
      <c r="I99" t="s">
        <v>256</v>
      </c>
      <c r="J99" s="15">
        <f>IF(Table1_2[[#This Row],[Salary]]="N/A",AVERAGEIF(Table1_2[Department],Table1_2[[#This Row],[Department]],Table1_2[Salary]),Table1_2[[#This Row],[Salary]])</f>
        <v>89333</v>
      </c>
      <c r="K99" s="16">
        <f>IF(Table1_2[[#This Row],[Date of Joining]]="",AVERAGEIF(Table1_2[Department],Table1_2[[#This Row],[Department]],Table1_2[Date of Joining]),Table1_2[[#This Row],[Date of Joining]])</f>
        <v>42687</v>
      </c>
      <c r="L99">
        <f>IF(Table1_2[[#This Row],[Performance Rating]]="",AVERAGEIF(Table1_2[Department],Table1_2[[#This Row],[Department]],Table1_2[Performance Rating]),Table1_2[[#This Row],[Performance Rating]])</f>
        <v>1</v>
      </c>
      <c r="M99">
        <f>ROUND(Table1_2[[#This Row],[Performance Rating2]],0)</f>
        <v>1</v>
      </c>
      <c r="N99" t="s">
        <v>180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3">
        <v>70470</v>
      </c>
      <c r="F100" s="16">
        <v>42694</v>
      </c>
      <c r="H100" t="s">
        <v>180</v>
      </c>
      <c r="I100" t="s">
        <v>257</v>
      </c>
      <c r="J100" s="15">
        <f>IF(Table1_2[[#This Row],[Salary]]="N/A",AVERAGEIF(Table1_2[Department],Table1_2[[#This Row],[Department]],Table1_2[Salary]),Table1_2[[#This Row],[Salary]])</f>
        <v>70470</v>
      </c>
      <c r="K100" s="16">
        <f>IF(Table1_2[[#This Row],[Date of Joining]]="",AVERAGEIF(Table1_2[Department],Table1_2[[#This Row],[Department]],Table1_2[Date of Joining]),Table1_2[[#This Row],[Date of Joining]])</f>
        <v>42694</v>
      </c>
      <c r="L100">
        <f>IF(Table1_2[[#This Row],[Performance Rating]]="",AVERAGEIF(Table1_2[Department],Table1_2[[#This Row],[Department]],Table1_2[Performance Rating]),Table1_2[[#This Row],[Performance Rating]])</f>
        <v>2.9444444444444446</v>
      </c>
      <c r="M100">
        <f>ROUND(Table1_2[[#This Row],[Performance Rating2]],0)</f>
        <v>3</v>
      </c>
      <c r="N100" t="s">
        <v>180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3">
        <v>70096</v>
      </c>
      <c r="F101" s="16">
        <v>42701</v>
      </c>
      <c r="G101">
        <v>4</v>
      </c>
      <c r="H101" t="s">
        <v>180</v>
      </c>
      <c r="I101" t="s">
        <v>258</v>
      </c>
      <c r="J101" s="15">
        <f>IF(Table1_2[[#This Row],[Salary]]="N/A",AVERAGEIF(Table1_2[Department],Table1_2[[#This Row],[Department]],Table1_2[Salary]),Table1_2[[#This Row],[Salary]])</f>
        <v>70096</v>
      </c>
      <c r="K101" s="16">
        <f>IF(Table1_2[[#This Row],[Date of Joining]]="",AVERAGEIF(Table1_2[Department],Table1_2[[#This Row],[Department]],Table1_2[Date of Joining]),Table1_2[[#This Row],[Date of Joining]])</f>
        <v>42701</v>
      </c>
      <c r="L101">
        <f>IF(Table1_2[[#This Row],[Performance Rating]]="",AVERAGEIF(Table1_2[Department],Table1_2[[#This Row],[Department]],Table1_2[Performance Rating]),Table1_2[[#This Row],[Performance Rating]])</f>
        <v>4</v>
      </c>
      <c r="M101">
        <f>ROUND(Table1_2[[#This Row],[Performance Rating2]],0)</f>
        <v>4</v>
      </c>
      <c r="N101" t="s">
        <v>180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174</v>
      </c>
      <c r="E102" s="13" t="s">
        <v>177</v>
      </c>
      <c r="F102" s="16">
        <v>42708</v>
      </c>
      <c r="G102">
        <v>2</v>
      </c>
      <c r="H102" t="s">
        <v>179</v>
      </c>
      <c r="I102" t="s">
        <v>259</v>
      </c>
      <c r="J102" s="15">
        <f>IF(Table1_2[[#This Row],[Salary]]="N/A",AVERAGEIF(Table1_2[Department],Table1_2[[#This Row],[Department]],Table1_2[Salary]),Table1_2[[#This Row],[Salary]])</f>
        <v>65071.98</v>
      </c>
      <c r="K102" s="16">
        <f>IF(Table1_2[[#This Row],[Date of Joining]]="",AVERAGEIF(Table1_2[Department],Table1_2[[#This Row],[Department]],Table1_2[Date of Joining]),Table1_2[[#This Row],[Date of Joining]])</f>
        <v>42708</v>
      </c>
      <c r="L102">
        <f>IF(Table1_2[[#This Row],[Performance Rating]]="",AVERAGEIF(Table1_2[Department],Table1_2[[#This Row],[Department]],Table1_2[Performance Rating]),Table1_2[[#This Row],[Performance Rating]])</f>
        <v>2</v>
      </c>
      <c r="M102">
        <f>ROUND(Table1_2[[#This Row],[Performance Rating2]],0)</f>
        <v>2</v>
      </c>
      <c r="N102" t="s">
        <v>179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3">
        <v>66503</v>
      </c>
      <c r="F103" s="16">
        <v>42715</v>
      </c>
      <c r="H103" t="s">
        <v>180</v>
      </c>
      <c r="I103" t="s">
        <v>200</v>
      </c>
      <c r="J103" s="15">
        <f>IF(Table1_2[[#This Row],[Salary]]="N/A",AVERAGEIF(Table1_2[Department],Table1_2[[#This Row],[Department]],Table1_2[Salary]),Table1_2[[#This Row],[Salary]])</f>
        <v>66503</v>
      </c>
      <c r="K103" s="16">
        <f>IF(Table1_2[[#This Row],[Date of Joining]]="",AVERAGEIF(Table1_2[Department],Table1_2[[#This Row],[Department]],Table1_2[Date of Joining]),Table1_2[[#This Row],[Date of Joining]])</f>
        <v>42715</v>
      </c>
      <c r="L103">
        <f>IF(Table1_2[[#This Row],[Performance Rating]]="",AVERAGEIF(Table1_2[Department],Table1_2[[#This Row],[Department]],Table1_2[Performance Rating]),Table1_2[[#This Row],[Performance Rating]])</f>
        <v>2.9444444444444446</v>
      </c>
      <c r="M103">
        <f>ROUND(Table1_2[[#This Row],[Performance Rating2]],0)</f>
        <v>3</v>
      </c>
      <c r="N103" t="s">
        <v>180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3">
        <v>42096</v>
      </c>
      <c r="F104" s="16">
        <v>42722</v>
      </c>
      <c r="H104" t="s">
        <v>181</v>
      </c>
      <c r="I104" t="s">
        <v>260</v>
      </c>
      <c r="J104" s="15">
        <f>IF(Table1_2[[#This Row],[Salary]]="N/A",AVERAGEIF(Table1_2[Department],Table1_2[[#This Row],[Department]],Table1_2[Salary]),Table1_2[[#This Row],[Salary]])</f>
        <v>42096</v>
      </c>
      <c r="K104" s="16">
        <f>IF(Table1_2[[#This Row],[Date of Joining]]="",AVERAGEIF(Table1_2[Department],Table1_2[[#This Row],[Department]],Table1_2[Date of Joining]),Table1_2[[#This Row],[Date of Joining]])</f>
        <v>42722</v>
      </c>
      <c r="L104">
        <f>IF(Table1_2[[#This Row],[Performance Rating]]="",AVERAGEIF(Table1_2[Department],Table1_2[[#This Row],[Department]],Table1_2[Performance Rating]),Table1_2[[#This Row],[Performance Rating]])</f>
        <v>2.7</v>
      </c>
      <c r="M104">
        <f>ROUND(Table1_2[[#This Row],[Performance Rating2]],0)</f>
        <v>3</v>
      </c>
      <c r="N104" t="s">
        <v>181</v>
      </c>
    </row>
    <row r="105" spans="1:14" x14ac:dyDescent="0.35">
      <c r="A105" t="s">
        <v>112</v>
      </c>
      <c r="B105" t="s">
        <v>160</v>
      </c>
      <c r="C105" t="s">
        <v>170</v>
      </c>
      <c r="D105" t="s">
        <v>174</v>
      </c>
      <c r="E105" s="13">
        <v>79145</v>
      </c>
      <c r="F105" s="16">
        <v>42729</v>
      </c>
      <c r="G105">
        <v>5</v>
      </c>
      <c r="H105" t="s">
        <v>179</v>
      </c>
      <c r="I105" t="s">
        <v>223</v>
      </c>
      <c r="J105" s="15">
        <f>IF(Table1_2[[#This Row],[Salary]]="N/A",AVERAGEIF(Table1_2[Department],Table1_2[[#This Row],[Department]],Table1_2[Salary]),Table1_2[[#This Row],[Salary]])</f>
        <v>79145</v>
      </c>
      <c r="K105" s="16">
        <f>IF(Table1_2[[#This Row],[Date of Joining]]="",AVERAGEIF(Table1_2[Department],Table1_2[[#This Row],[Department]],Table1_2[Date of Joining]),Table1_2[[#This Row],[Date of Joining]])</f>
        <v>42729</v>
      </c>
      <c r="L105">
        <f>IF(Table1_2[[#This Row],[Performance Rating]]="",AVERAGEIF(Table1_2[Department],Table1_2[[#This Row],[Department]],Table1_2[Performance Rating]),Table1_2[[#This Row],[Performance Rating]])</f>
        <v>5</v>
      </c>
      <c r="M105">
        <f>ROUND(Table1_2[[#This Row],[Performance Rating2]],0)</f>
        <v>5</v>
      </c>
      <c r="N105" t="s">
        <v>179</v>
      </c>
    </row>
    <row r="106" spans="1:14" x14ac:dyDescent="0.35">
      <c r="A106" t="s">
        <v>113</v>
      </c>
      <c r="B106" t="s">
        <v>162</v>
      </c>
      <c r="C106" t="s">
        <v>170</v>
      </c>
      <c r="D106" t="s">
        <v>176</v>
      </c>
      <c r="E106" s="13">
        <v>61556</v>
      </c>
      <c r="F106" s="16">
        <v>42736</v>
      </c>
      <c r="G106">
        <v>1</v>
      </c>
      <c r="I106" t="s">
        <v>259</v>
      </c>
      <c r="J106" s="15">
        <f>IF(Table1_2[[#This Row],[Salary]]="N/A",AVERAGEIF(Table1_2[Department],Table1_2[[#This Row],[Department]],Table1_2[Salary]),Table1_2[[#This Row],[Salary]])</f>
        <v>61556</v>
      </c>
      <c r="K106" s="16">
        <f>IF(Table1_2[[#This Row],[Date of Joining]]="",AVERAGEIF(Table1_2[Department],Table1_2[[#This Row],[Department]],Table1_2[Date of Joining]),Table1_2[[#This Row],[Date of Joining]])</f>
        <v>42736</v>
      </c>
      <c r="L106">
        <f>IF(Table1_2[[#This Row],[Performance Rating]]="",AVERAGEIF(Table1_2[Department],Table1_2[[#This Row],[Department]],Table1_2[Performance Rating]),Table1_2[[#This Row],[Performance Rating]])</f>
        <v>1</v>
      </c>
      <c r="M106">
        <f>ROUND(Table1_2[[#This Row],[Performance Rating2]],0)</f>
        <v>1</v>
      </c>
      <c r="N106" t="s">
        <v>180</v>
      </c>
    </row>
    <row r="107" spans="1:14" x14ac:dyDescent="0.35">
      <c r="A107" t="s">
        <v>114</v>
      </c>
      <c r="B107" t="s">
        <v>178</v>
      </c>
      <c r="C107" t="s">
        <v>167</v>
      </c>
      <c r="D107" t="s">
        <v>175</v>
      </c>
      <c r="E107" s="13">
        <v>87963</v>
      </c>
      <c r="F107" s="16">
        <v>42743</v>
      </c>
      <c r="G107">
        <v>3</v>
      </c>
      <c r="H107" t="s">
        <v>179</v>
      </c>
      <c r="I107" t="s">
        <v>182</v>
      </c>
      <c r="J107" s="15">
        <f>IF(Table1_2[[#This Row],[Salary]]="N/A",AVERAGEIF(Table1_2[Department],Table1_2[[#This Row],[Department]],Table1_2[Salary]),Table1_2[[#This Row],[Salary]])</f>
        <v>87963</v>
      </c>
      <c r="K107" s="16">
        <f>IF(Table1_2[[#This Row],[Date of Joining]]="",AVERAGEIF(Table1_2[Department],Table1_2[[#This Row],[Department]],Table1_2[Date of Joining]),Table1_2[[#This Row],[Date of Joining]])</f>
        <v>42743</v>
      </c>
      <c r="L107">
        <f>IF(Table1_2[[#This Row],[Performance Rating]]="",AVERAGEIF(Table1_2[Department],Table1_2[[#This Row],[Department]],Table1_2[Performance Rating]),Table1_2[[#This Row],[Performance Rating]])</f>
        <v>3</v>
      </c>
      <c r="M107">
        <f>ROUND(Table1_2[[#This Row],[Performance Rating2]],0)</f>
        <v>3</v>
      </c>
      <c r="N107" t="s">
        <v>179</v>
      </c>
    </row>
    <row r="108" spans="1:14" x14ac:dyDescent="0.35">
      <c r="A108" t="s">
        <v>115</v>
      </c>
      <c r="B108" t="s">
        <v>159</v>
      </c>
      <c r="C108" t="s">
        <v>169</v>
      </c>
      <c r="D108" t="s">
        <v>174</v>
      </c>
      <c r="E108" s="13">
        <v>48325</v>
      </c>
      <c r="F108" s="16">
        <v>42750</v>
      </c>
      <c r="H108" t="s">
        <v>180</v>
      </c>
      <c r="I108" t="s">
        <v>261</v>
      </c>
      <c r="J108" s="15">
        <f>IF(Table1_2[[#This Row],[Salary]]="N/A",AVERAGEIF(Table1_2[Department],Table1_2[[#This Row],[Department]],Table1_2[Salary]),Table1_2[[#This Row],[Salary]])</f>
        <v>48325</v>
      </c>
      <c r="K108" s="16">
        <f>IF(Table1_2[[#This Row],[Date of Joining]]="",AVERAGEIF(Table1_2[Department],Table1_2[[#This Row],[Department]],Table1_2[Date of Joining]),Table1_2[[#This Row],[Date of Joining]])</f>
        <v>42750</v>
      </c>
      <c r="L108">
        <f>IF(Table1_2[[#This Row],[Performance Rating]]="",AVERAGEIF(Table1_2[Department],Table1_2[[#This Row],[Department]],Table1_2[Performance Rating]),Table1_2[[#This Row],[Performance Rating]])</f>
        <v>2.9444444444444446</v>
      </c>
      <c r="M108">
        <f>ROUND(Table1_2[[#This Row],[Performance Rating2]],0)</f>
        <v>3</v>
      </c>
      <c r="N108" t="s">
        <v>180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3">
        <v>86412</v>
      </c>
      <c r="F109" s="16">
        <v>42757</v>
      </c>
      <c r="G109">
        <v>2</v>
      </c>
      <c r="H109" t="s">
        <v>181</v>
      </c>
      <c r="I109" t="s">
        <v>202</v>
      </c>
      <c r="J109" s="15">
        <f>IF(Table1_2[[#This Row],[Salary]]="N/A",AVERAGEIF(Table1_2[Department],Table1_2[[#This Row],[Department]],Table1_2[Salary]),Table1_2[[#This Row],[Salary]])</f>
        <v>86412</v>
      </c>
      <c r="K109" s="16">
        <f>IF(Table1_2[[#This Row],[Date of Joining]]="",AVERAGEIF(Table1_2[Department],Table1_2[[#This Row],[Department]],Table1_2[Date of Joining]),Table1_2[[#This Row],[Date of Joining]])</f>
        <v>42757</v>
      </c>
      <c r="L109">
        <f>IF(Table1_2[[#This Row],[Performance Rating]]="",AVERAGEIF(Table1_2[Department],Table1_2[[#This Row],[Department]],Table1_2[Performance Rating]),Table1_2[[#This Row],[Performance Rating]])</f>
        <v>2</v>
      </c>
      <c r="M109">
        <f>ROUND(Table1_2[[#This Row],[Performance Rating2]],0)</f>
        <v>2</v>
      </c>
      <c r="N109" t="s">
        <v>181</v>
      </c>
    </row>
    <row r="110" spans="1:14" x14ac:dyDescent="0.35">
      <c r="A110" t="s">
        <v>117</v>
      </c>
      <c r="B110" t="s">
        <v>163</v>
      </c>
      <c r="C110" t="s">
        <v>167</v>
      </c>
      <c r="D110" t="s">
        <v>174</v>
      </c>
      <c r="E110" s="13">
        <v>66761</v>
      </c>
      <c r="F110" s="16">
        <v>42764</v>
      </c>
      <c r="G110">
        <v>1</v>
      </c>
      <c r="I110" t="s">
        <v>262</v>
      </c>
      <c r="J110" s="15">
        <f>IF(Table1_2[[#This Row],[Salary]]="N/A",AVERAGEIF(Table1_2[Department],Table1_2[[#This Row],[Department]],Table1_2[Salary]),Table1_2[[#This Row],[Salary]])</f>
        <v>66761</v>
      </c>
      <c r="K110" s="16">
        <f>IF(Table1_2[[#This Row],[Date of Joining]]="",AVERAGEIF(Table1_2[Department],Table1_2[[#This Row],[Department]],Table1_2[Date of Joining]),Table1_2[[#This Row],[Date of Joining]])</f>
        <v>42764</v>
      </c>
      <c r="L110">
        <f>IF(Table1_2[[#This Row],[Performance Rating]]="",AVERAGEIF(Table1_2[Department],Table1_2[[#This Row],[Department]],Table1_2[Performance Rating]),Table1_2[[#This Row],[Performance Rating]])</f>
        <v>1</v>
      </c>
      <c r="M110">
        <f>ROUND(Table1_2[[#This Row],[Performance Rating2]],0)</f>
        <v>1</v>
      </c>
      <c r="N110" t="s">
        <v>180</v>
      </c>
    </row>
    <row r="111" spans="1:14" x14ac:dyDescent="0.35">
      <c r="A111" t="s">
        <v>118</v>
      </c>
      <c r="B111" t="s">
        <v>162</v>
      </c>
      <c r="C111" t="s">
        <v>170</v>
      </c>
      <c r="D111" t="s">
        <v>174</v>
      </c>
      <c r="E111" s="13">
        <v>88850</v>
      </c>
      <c r="F111" s="16">
        <v>42771</v>
      </c>
      <c r="G111">
        <v>1</v>
      </c>
      <c r="H111" t="s">
        <v>181</v>
      </c>
      <c r="I111" t="s">
        <v>263</v>
      </c>
      <c r="J111" s="15">
        <f>IF(Table1_2[[#This Row],[Salary]]="N/A",AVERAGEIF(Table1_2[Department],Table1_2[[#This Row],[Department]],Table1_2[Salary]),Table1_2[[#This Row],[Salary]])</f>
        <v>88850</v>
      </c>
      <c r="K111" s="16">
        <f>IF(Table1_2[[#This Row],[Date of Joining]]="",AVERAGEIF(Table1_2[Department],Table1_2[[#This Row],[Department]],Table1_2[Date of Joining]),Table1_2[[#This Row],[Date of Joining]])</f>
        <v>42771</v>
      </c>
      <c r="L111">
        <f>IF(Table1_2[[#This Row],[Performance Rating]]="",AVERAGEIF(Table1_2[Department],Table1_2[[#This Row],[Department]],Table1_2[Performance Rating]),Table1_2[[#This Row],[Performance Rating]])</f>
        <v>1</v>
      </c>
      <c r="M111">
        <f>ROUND(Table1_2[[#This Row],[Performance Rating2]],0)</f>
        <v>1</v>
      </c>
      <c r="N111" t="s">
        <v>181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3">
        <v>31293</v>
      </c>
      <c r="F112" s="16"/>
      <c r="G112">
        <v>2</v>
      </c>
      <c r="H112" t="s">
        <v>181</v>
      </c>
      <c r="I112" t="s">
        <v>264</v>
      </c>
      <c r="J112" s="15">
        <f>IF(Table1_2[[#This Row],[Salary]]="N/A",AVERAGEIF(Table1_2[Department],Table1_2[[#This Row],[Department]],Table1_2[Salary]),Table1_2[[#This Row],[Salary]])</f>
        <v>31293</v>
      </c>
      <c r="K112" s="16">
        <f>IF(Table1_2[[#This Row],[Date of Joining]]="",AVERAGEIF(Table1_2[Department],Table1_2[[#This Row],[Department]],Table1_2[Date of Joining]),Table1_2[[#This Row],[Date of Joining]])</f>
        <v>42563.041666666664</v>
      </c>
      <c r="L112">
        <f>IF(Table1_2[[#This Row],[Performance Rating]]="",AVERAGEIF(Table1_2[Department],Table1_2[[#This Row],[Department]],Table1_2[Performance Rating]),Table1_2[[#This Row],[Performance Rating]])</f>
        <v>2</v>
      </c>
      <c r="M112">
        <f>ROUND(Table1_2[[#This Row],[Performance Rating2]],0)</f>
        <v>2</v>
      </c>
      <c r="N112" t="s">
        <v>181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3">
        <v>34306</v>
      </c>
      <c r="F113" s="16">
        <v>42785</v>
      </c>
      <c r="G113">
        <v>5</v>
      </c>
      <c r="H113" t="s">
        <v>181</v>
      </c>
      <c r="I113" t="s">
        <v>239</v>
      </c>
      <c r="J113" s="15">
        <f>IF(Table1_2[[#This Row],[Salary]]="N/A",AVERAGEIF(Table1_2[Department],Table1_2[[#This Row],[Department]],Table1_2[Salary]),Table1_2[[#This Row],[Salary]])</f>
        <v>34306</v>
      </c>
      <c r="K113" s="16">
        <f>IF(Table1_2[[#This Row],[Date of Joining]]="",AVERAGEIF(Table1_2[Department],Table1_2[[#This Row],[Department]],Table1_2[Date of Joining]),Table1_2[[#This Row],[Date of Joining]])</f>
        <v>42785</v>
      </c>
      <c r="L113">
        <f>IF(Table1_2[[#This Row],[Performance Rating]]="",AVERAGEIF(Table1_2[Department],Table1_2[[#This Row],[Department]],Table1_2[Performance Rating]),Table1_2[[#This Row],[Performance Rating]])</f>
        <v>5</v>
      </c>
      <c r="M113">
        <f>ROUND(Table1_2[[#This Row],[Performance Rating2]],0)</f>
        <v>5</v>
      </c>
      <c r="N113" t="s">
        <v>181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3">
        <v>78330</v>
      </c>
      <c r="F114" s="16">
        <v>42792</v>
      </c>
      <c r="H114" t="s">
        <v>179</v>
      </c>
      <c r="I114" t="s">
        <v>258</v>
      </c>
      <c r="J114" s="15">
        <f>IF(Table1_2[[#This Row],[Salary]]="N/A",AVERAGEIF(Table1_2[Department],Table1_2[[#This Row],[Department]],Table1_2[Salary]),Table1_2[[#This Row],[Salary]])</f>
        <v>78330</v>
      </c>
      <c r="K114" s="16">
        <f>IF(Table1_2[[#This Row],[Date of Joining]]="",AVERAGEIF(Table1_2[Department],Table1_2[[#This Row],[Department]],Table1_2[Date of Joining]),Table1_2[[#This Row],[Date of Joining]])</f>
        <v>42792</v>
      </c>
      <c r="L114">
        <f>IF(Table1_2[[#This Row],[Performance Rating]]="",AVERAGEIF(Table1_2[Department],Table1_2[[#This Row],[Department]],Table1_2[Performance Rating]),Table1_2[[#This Row],[Performance Rating]])</f>
        <v>2.5789473684210527</v>
      </c>
      <c r="M114">
        <f>ROUND(Table1_2[[#This Row],[Performance Rating2]],0)</f>
        <v>3</v>
      </c>
      <c r="N114" t="s">
        <v>179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3">
        <v>47653</v>
      </c>
      <c r="F115" s="16">
        <v>42799</v>
      </c>
      <c r="G115">
        <v>1</v>
      </c>
      <c r="H115" t="s">
        <v>180</v>
      </c>
      <c r="I115" t="s">
        <v>265</v>
      </c>
      <c r="J115" s="15">
        <f>IF(Table1_2[[#This Row],[Salary]]="N/A",AVERAGEIF(Table1_2[Department],Table1_2[[#This Row],[Department]],Table1_2[Salary]),Table1_2[[#This Row],[Salary]])</f>
        <v>47653</v>
      </c>
      <c r="K115" s="16">
        <f>IF(Table1_2[[#This Row],[Date of Joining]]="",AVERAGEIF(Table1_2[Department],Table1_2[[#This Row],[Department]],Table1_2[Date of Joining]),Table1_2[[#This Row],[Date of Joining]])</f>
        <v>42799</v>
      </c>
      <c r="L115">
        <f>IF(Table1_2[[#This Row],[Performance Rating]]="",AVERAGEIF(Table1_2[Department],Table1_2[[#This Row],[Department]],Table1_2[Performance Rating]),Table1_2[[#This Row],[Performance Rating]])</f>
        <v>1</v>
      </c>
      <c r="M115">
        <f>ROUND(Table1_2[[#This Row],[Performance Rating2]],0)</f>
        <v>1</v>
      </c>
      <c r="N115" t="s">
        <v>180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3">
        <v>44627</v>
      </c>
      <c r="F116" s="16">
        <v>42806</v>
      </c>
      <c r="G116">
        <v>4</v>
      </c>
      <c r="I116" t="s">
        <v>235</v>
      </c>
      <c r="J116" s="15">
        <f>IF(Table1_2[[#This Row],[Salary]]="N/A",AVERAGEIF(Table1_2[Department],Table1_2[[#This Row],[Department]],Table1_2[Salary]),Table1_2[[#This Row],[Salary]])</f>
        <v>44627</v>
      </c>
      <c r="K116" s="16">
        <f>IF(Table1_2[[#This Row],[Date of Joining]]="",AVERAGEIF(Table1_2[Department],Table1_2[[#This Row],[Department]],Table1_2[Date of Joining]),Table1_2[[#This Row],[Date of Joining]])</f>
        <v>42806</v>
      </c>
      <c r="L116">
        <f>IF(Table1_2[[#This Row],[Performance Rating]]="",AVERAGEIF(Table1_2[Department],Table1_2[[#This Row],[Department]],Table1_2[Performance Rating]),Table1_2[[#This Row],[Performance Rating]])</f>
        <v>4</v>
      </c>
      <c r="M116">
        <f>ROUND(Table1_2[[#This Row],[Performance Rating2]],0)</f>
        <v>4</v>
      </c>
      <c r="N116" t="s">
        <v>180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3">
        <v>92343</v>
      </c>
      <c r="F117" s="16">
        <v>42813</v>
      </c>
      <c r="G117">
        <v>4</v>
      </c>
      <c r="H117" t="s">
        <v>181</v>
      </c>
      <c r="I117" t="s">
        <v>203</v>
      </c>
      <c r="J117" s="15">
        <f>IF(Table1_2[[#This Row],[Salary]]="N/A",AVERAGEIF(Table1_2[Department],Table1_2[[#This Row],[Department]],Table1_2[Salary]),Table1_2[[#This Row],[Salary]])</f>
        <v>92343</v>
      </c>
      <c r="K117" s="16">
        <f>IF(Table1_2[[#This Row],[Date of Joining]]="",AVERAGEIF(Table1_2[Department],Table1_2[[#This Row],[Department]],Table1_2[Date of Joining]),Table1_2[[#This Row],[Date of Joining]])</f>
        <v>42813</v>
      </c>
      <c r="L117">
        <f>IF(Table1_2[[#This Row],[Performance Rating]]="",AVERAGEIF(Table1_2[Department],Table1_2[[#This Row],[Department]],Table1_2[Performance Rating]),Table1_2[[#This Row],[Performance Rating]])</f>
        <v>4</v>
      </c>
      <c r="M117">
        <f>ROUND(Table1_2[[#This Row],[Performance Rating2]],0)</f>
        <v>4</v>
      </c>
      <c r="N117" t="s">
        <v>181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3">
        <v>38837</v>
      </c>
      <c r="F118" s="16">
        <v>42820</v>
      </c>
      <c r="G118">
        <v>5</v>
      </c>
      <c r="H118" t="s">
        <v>181</v>
      </c>
      <c r="I118" t="s">
        <v>239</v>
      </c>
      <c r="J118" s="15">
        <f>IF(Table1_2[[#This Row],[Salary]]="N/A",AVERAGEIF(Table1_2[Department],Table1_2[[#This Row],[Department]],Table1_2[Salary]),Table1_2[[#This Row],[Salary]])</f>
        <v>38837</v>
      </c>
      <c r="K118" s="16">
        <f>IF(Table1_2[[#This Row],[Date of Joining]]="",AVERAGEIF(Table1_2[Department],Table1_2[[#This Row],[Department]],Table1_2[Date of Joining]),Table1_2[[#This Row],[Date of Joining]])</f>
        <v>42820</v>
      </c>
      <c r="L118">
        <f>IF(Table1_2[[#This Row],[Performance Rating]]="",AVERAGEIF(Table1_2[Department],Table1_2[[#This Row],[Department]],Table1_2[Performance Rating]),Table1_2[[#This Row],[Performance Rating]])</f>
        <v>5</v>
      </c>
      <c r="M118">
        <f>ROUND(Table1_2[[#This Row],[Performance Rating2]],0)</f>
        <v>5</v>
      </c>
      <c r="N118" t="s">
        <v>181</v>
      </c>
    </row>
    <row r="119" spans="1:14" x14ac:dyDescent="0.35">
      <c r="A119" t="s">
        <v>126</v>
      </c>
      <c r="B119" t="s">
        <v>165</v>
      </c>
      <c r="C119" t="s">
        <v>170</v>
      </c>
      <c r="D119" t="s">
        <v>174</v>
      </c>
      <c r="E119" s="13">
        <v>73483</v>
      </c>
      <c r="F119" s="16">
        <v>42827</v>
      </c>
      <c r="G119">
        <v>1</v>
      </c>
      <c r="I119" t="s">
        <v>266</v>
      </c>
      <c r="J119" s="15">
        <f>IF(Table1_2[[#This Row],[Salary]]="N/A",AVERAGEIF(Table1_2[Department],Table1_2[[#This Row],[Department]],Table1_2[Salary]),Table1_2[[#This Row],[Salary]])</f>
        <v>73483</v>
      </c>
      <c r="K119" s="16">
        <f>IF(Table1_2[[#This Row],[Date of Joining]]="",AVERAGEIF(Table1_2[Department],Table1_2[[#This Row],[Department]],Table1_2[Date of Joining]),Table1_2[[#This Row],[Date of Joining]])</f>
        <v>42827</v>
      </c>
      <c r="L119">
        <f>IF(Table1_2[[#This Row],[Performance Rating]]="",AVERAGEIF(Table1_2[Department],Table1_2[[#This Row],[Department]],Table1_2[Performance Rating]),Table1_2[[#This Row],[Performance Rating]])</f>
        <v>1</v>
      </c>
      <c r="M119">
        <f>ROUND(Table1_2[[#This Row],[Performance Rating2]],0)</f>
        <v>1</v>
      </c>
      <c r="N119" t="s">
        <v>180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3">
        <v>95032</v>
      </c>
      <c r="F120" s="16">
        <v>42834</v>
      </c>
      <c r="G120">
        <v>3</v>
      </c>
      <c r="I120" t="s">
        <v>267</v>
      </c>
      <c r="J120" s="15">
        <f>IF(Table1_2[[#This Row],[Salary]]="N/A",AVERAGEIF(Table1_2[Department],Table1_2[[#This Row],[Department]],Table1_2[Salary]),Table1_2[[#This Row],[Salary]])</f>
        <v>95032</v>
      </c>
      <c r="K120" s="16">
        <f>IF(Table1_2[[#This Row],[Date of Joining]]="",AVERAGEIF(Table1_2[Department],Table1_2[[#This Row],[Department]],Table1_2[Date of Joining]),Table1_2[[#This Row],[Date of Joining]])</f>
        <v>42834</v>
      </c>
      <c r="L120">
        <f>IF(Table1_2[[#This Row],[Performance Rating]]="",AVERAGEIF(Table1_2[Department],Table1_2[[#This Row],[Department]],Table1_2[Performance Rating]),Table1_2[[#This Row],[Performance Rating]])</f>
        <v>3</v>
      </c>
      <c r="M120">
        <f>ROUND(Table1_2[[#This Row],[Performance Rating2]],0)</f>
        <v>3</v>
      </c>
      <c r="N120" t="s">
        <v>180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3">
        <v>44358</v>
      </c>
      <c r="F121" s="16">
        <v>42841</v>
      </c>
      <c r="H121" t="s">
        <v>181</v>
      </c>
      <c r="I121" t="s">
        <v>200</v>
      </c>
      <c r="J121" s="15">
        <f>IF(Table1_2[[#This Row],[Salary]]="N/A",AVERAGEIF(Table1_2[Department],Table1_2[[#This Row],[Department]],Table1_2[Salary]),Table1_2[[#This Row],[Salary]])</f>
        <v>44358</v>
      </c>
      <c r="K121" s="16">
        <f>IF(Table1_2[[#This Row],[Date of Joining]]="",AVERAGEIF(Table1_2[Department],Table1_2[[#This Row],[Department]],Table1_2[Date of Joining]),Table1_2[[#This Row],[Date of Joining]])</f>
        <v>42841</v>
      </c>
      <c r="L121">
        <f>IF(Table1_2[[#This Row],[Performance Rating]]="",AVERAGEIF(Table1_2[Department],Table1_2[[#This Row],[Department]],Table1_2[Performance Rating]),Table1_2[[#This Row],[Performance Rating]])</f>
        <v>2.7272727272727271</v>
      </c>
      <c r="M121">
        <f>ROUND(Table1_2[[#This Row],[Performance Rating2]],0)</f>
        <v>3</v>
      </c>
      <c r="N121" t="s">
        <v>181</v>
      </c>
    </row>
    <row r="122" spans="1:14" x14ac:dyDescent="0.35">
      <c r="A122" t="s">
        <v>129</v>
      </c>
      <c r="B122" t="s">
        <v>178</v>
      </c>
      <c r="C122" t="s">
        <v>169</v>
      </c>
      <c r="D122" t="s">
        <v>173</v>
      </c>
      <c r="E122" s="13" t="s">
        <v>177</v>
      </c>
      <c r="F122" s="16"/>
      <c r="G122">
        <v>5</v>
      </c>
      <c r="H122" t="s">
        <v>178</v>
      </c>
      <c r="I122" t="s">
        <v>268</v>
      </c>
      <c r="J122" s="15">
        <f>IF(Table1_2[[#This Row],[Salary]]="N/A",AVERAGEIF(Table1_2[Department],Table1_2[[#This Row],[Department]],Table1_2[Salary]),Table1_2[[#This Row],[Salary]])</f>
        <v>66157.5</v>
      </c>
      <c r="K122" s="16">
        <f>IF(Table1_2[[#This Row],[Date of Joining]]="",AVERAGEIF(Table1_2[Department],Table1_2[[#This Row],[Department]],Table1_2[Date of Joining]),Table1_2[[#This Row],[Date of Joining]])</f>
        <v>42521.333333333336</v>
      </c>
      <c r="L122">
        <f>IF(Table1_2[[#This Row],[Performance Rating]]="",AVERAGEIF(Table1_2[Department],Table1_2[[#This Row],[Department]],Table1_2[Performance Rating]),Table1_2[[#This Row],[Performance Rating]])</f>
        <v>5</v>
      </c>
      <c r="M122">
        <f>ROUND(Table1_2[[#This Row],[Performance Rating2]],0)</f>
        <v>5</v>
      </c>
      <c r="N122" t="s">
        <v>178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3">
        <v>45676</v>
      </c>
      <c r="F123" s="16">
        <v>42855</v>
      </c>
      <c r="G123">
        <v>2</v>
      </c>
      <c r="I123" t="s">
        <v>269</v>
      </c>
      <c r="J123" s="15">
        <f>IF(Table1_2[[#This Row],[Salary]]="N/A",AVERAGEIF(Table1_2[Department],Table1_2[[#This Row],[Department]],Table1_2[Salary]),Table1_2[[#This Row],[Salary]])</f>
        <v>45676</v>
      </c>
      <c r="K123" s="16">
        <f>IF(Table1_2[[#This Row],[Date of Joining]]="",AVERAGEIF(Table1_2[Department],Table1_2[[#This Row],[Department]],Table1_2[Date of Joining]),Table1_2[[#This Row],[Date of Joining]])</f>
        <v>42855</v>
      </c>
      <c r="L123">
        <f>IF(Table1_2[[#This Row],[Performance Rating]]="",AVERAGEIF(Table1_2[Department],Table1_2[[#This Row],[Department]],Table1_2[Performance Rating]),Table1_2[[#This Row],[Performance Rating]])</f>
        <v>2</v>
      </c>
      <c r="M123">
        <f>ROUND(Table1_2[[#This Row],[Performance Rating2]],0)</f>
        <v>2</v>
      </c>
      <c r="N123" t="s">
        <v>180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3">
        <v>52036</v>
      </c>
      <c r="F124" s="16">
        <v>42862</v>
      </c>
      <c r="G124">
        <v>3</v>
      </c>
      <c r="H124" t="s">
        <v>180</v>
      </c>
      <c r="I124" t="s">
        <v>270</v>
      </c>
      <c r="J124" s="15">
        <f>IF(Table1_2[[#This Row],[Salary]]="N/A",AVERAGEIF(Table1_2[Department],Table1_2[[#This Row],[Department]],Table1_2[Salary]),Table1_2[[#This Row],[Salary]])</f>
        <v>52036</v>
      </c>
      <c r="K124" s="16">
        <f>IF(Table1_2[[#This Row],[Date of Joining]]="",AVERAGEIF(Table1_2[Department],Table1_2[[#This Row],[Department]],Table1_2[Date of Joining]),Table1_2[[#This Row],[Date of Joining]])</f>
        <v>42862</v>
      </c>
      <c r="L124">
        <f>IF(Table1_2[[#This Row],[Performance Rating]]="",AVERAGEIF(Table1_2[Department],Table1_2[[#This Row],[Department]],Table1_2[Performance Rating]),Table1_2[[#This Row],[Performance Rating]])</f>
        <v>3</v>
      </c>
      <c r="M124">
        <f>ROUND(Table1_2[[#This Row],[Performance Rating2]],0)</f>
        <v>3</v>
      </c>
      <c r="N124" t="s">
        <v>180</v>
      </c>
    </row>
    <row r="125" spans="1:14" x14ac:dyDescent="0.35">
      <c r="A125" t="s">
        <v>132</v>
      </c>
      <c r="B125" t="s">
        <v>162</v>
      </c>
      <c r="C125" t="s">
        <v>170</v>
      </c>
      <c r="D125" t="s">
        <v>172</v>
      </c>
      <c r="E125" s="13">
        <v>30357</v>
      </c>
      <c r="F125" s="16">
        <v>42869</v>
      </c>
      <c r="G125">
        <v>5</v>
      </c>
      <c r="H125" t="s">
        <v>180</v>
      </c>
      <c r="I125" t="s">
        <v>248</v>
      </c>
      <c r="J125" s="15">
        <f>IF(Table1_2[[#This Row],[Salary]]="N/A",AVERAGEIF(Table1_2[Department],Table1_2[[#This Row],[Department]],Table1_2[Salary]),Table1_2[[#This Row],[Salary]])</f>
        <v>30357</v>
      </c>
      <c r="K125" s="16">
        <f>IF(Table1_2[[#This Row],[Date of Joining]]="",AVERAGEIF(Table1_2[Department],Table1_2[[#This Row],[Department]],Table1_2[Date of Joining]),Table1_2[[#This Row],[Date of Joining]])</f>
        <v>42869</v>
      </c>
      <c r="L125">
        <f>IF(Table1_2[[#This Row],[Performance Rating]]="",AVERAGEIF(Table1_2[Department],Table1_2[[#This Row],[Department]],Table1_2[Performance Rating]),Table1_2[[#This Row],[Performance Rating]])</f>
        <v>5</v>
      </c>
      <c r="M125">
        <f>ROUND(Table1_2[[#This Row],[Performance Rating2]],0)</f>
        <v>5</v>
      </c>
      <c r="N125" t="s">
        <v>180</v>
      </c>
    </row>
    <row r="126" spans="1:14" x14ac:dyDescent="0.35">
      <c r="A126" t="s">
        <v>133</v>
      </c>
      <c r="B126" t="s">
        <v>161</v>
      </c>
      <c r="C126" t="s">
        <v>169</v>
      </c>
      <c r="D126" t="s">
        <v>174</v>
      </c>
      <c r="E126" s="13">
        <v>60034</v>
      </c>
      <c r="F126" s="16">
        <v>42876</v>
      </c>
      <c r="G126">
        <v>1</v>
      </c>
      <c r="H126" t="s">
        <v>181</v>
      </c>
      <c r="I126" t="s">
        <v>271</v>
      </c>
      <c r="J126" s="15">
        <f>IF(Table1_2[[#This Row],[Salary]]="N/A",AVERAGEIF(Table1_2[Department],Table1_2[[#This Row],[Department]],Table1_2[Salary]),Table1_2[[#This Row],[Salary]])</f>
        <v>60034</v>
      </c>
      <c r="K126" s="16">
        <f>IF(Table1_2[[#This Row],[Date of Joining]]="",AVERAGEIF(Table1_2[Department],Table1_2[[#This Row],[Department]],Table1_2[Date of Joining]),Table1_2[[#This Row],[Date of Joining]])</f>
        <v>42876</v>
      </c>
      <c r="L126">
        <f>IF(Table1_2[[#This Row],[Performance Rating]]="",AVERAGEIF(Table1_2[Department],Table1_2[[#This Row],[Department]],Table1_2[Performance Rating]),Table1_2[[#This Row],[Performance Rating]])</f>
        <v>1</v>
      </c>
      <c r="M126">
        <f>ROUND(Table1_2[[#This Row],[Performance Rating2]],0)</f>
        <v>1</v>
      </c>
      <c r="N126" t="s">
        <v>181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174</v>
      </c>
      <c r="E127" s="13">
        <v>90019</v>
      </c>
      <c r="F127" s="16">
        <v>42883</v>
      </c>
      <c r="G127">
        <v>5</v>
      </c>
      <c r="I127" t="s">
        <v>272</v>
      </c>
      <c r="J127" s="15">
        <f>IF(Table1_2[[#This Row],[Salary]]="N/A",AVERAGEIF(Table1_2[Department],Table1_2[[#This Row],[Department]],Table1_2[Salary]),Table1_2[[#This Row],[Salary]])</f>
        <v>90019</v>
      </c>
      <c r="K127" s="16">
        <f>IF(Table1_2[[#This Row],[Date of Joining]]="",AVERAGEIF(Table1_2[Department],Table1_2[[#This Row],[Department]],Table1_2[Date of Joining]),Table1_2[[#This Row],[Date of Joining]])</f>
        <v>42883</v>
      </c>
      <c r="L127">
        <f>IF(Table1_2[[#This Row],[Performance Rating]]="",AVERAGEIF(Table1_2[Department],Table1_2[[#This Row],[Department]],Table1_2[Performance Rating]),Table1_2[[#This Row],[Performance Rating]])</f>
        <v>5</v>
      </c>
      <c r="M127">
        <f>ROUND(Table1_2[[#This Row],[Performance Rating2]],0)</f>
        <v>5</v>
      </c>
      <c r="N127" t="s">
        <v>180</v>
      </c>
    </row>
    <row r="128" spans="1:14" x14ac:dyDescent="0.35">
      <c r="A128" t="s">
        <v>135</v>
      </c>
      <c r="B128" t="s">
        <v>165</v>
      </c>
      <c r="C128" t="s">
        <v>170</v>
      </c>
      <c r="D128" t="s">
        <v>172</v>
      </c>
      <c r="E128" s="13">
        <v>71494</v>
      </c>
      <c r="F128" s="16">
        <v>42890</v>
      </c>
      <c r="G128">
        <v>3</v>
      </c>
      <c r="H128" t="s">
        <v>180</v>
      </c>
      <c r="I128" t="s">
        <v>273</v>
      </c>
      <c r="J128" s="15">
        <f>IF(Table1_2[[#This Row],[Salary]]="N/A",AVERAGEIF(Table1_2[Department],Table1_2[[#This Row],[Department]],Table1_2[Salary]),Table1_2[[#This Row],[Salary]])</f>
        <v>71494</v>
      </c>
      <c r="K128" s="16">
        <f>IF(Table1_2[[#This Row],[Date of Joining]]="",AVERAGEIF(Table1_2[Department],Table1_2[[#This Row],[Department]],Table1_2[Date of Joining]),Table1_2[[#This Row],[Date of Joining]])</f>
        <v>42890</v>
      </c>
      <c r="L128">
        <f>IF(Table1_2[[#This Row],[Performance Rating]]="",AVERAGEIF(Table1_2[Department],Table1_2[[#This Row],[Department]],Table1_2[Performance Rating]),Table1_2[[#This Row],[Performance Rating]])</f>
        <v>3</v>
      </c>
      <c r="M128">
        <f>ROUND(Table1_2[[#This Row],[Performance Rating2]],0)</f>
        <v>3</v>
      </c>
      <c r="N128" t="s">
        <v>180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3">
        <v>91953</v>
      </c>
      <c r="F129" s="16">
        <v>42897</v>
      </c>
      <c r="G129">
        <v>2</v>
      </c>
      <c r="H129" t="s">
        <v>180</v>
      </c>
      <c r="I129" t="s">
        <v>209</v>
      </c>
      <c r="J129" s="15">
        <f>IF(Table1_2[[#This Row],[Salary]]="N/A",AVERAGEIF(Table1_2[Department],Table1_2[[#This Row],[Department]],Table1_2[Salary]),Table1_2[[#This Row],[Salary]])</f>
        <v>91953</v>
      </c>
      <c r="K129" s="16">
        <f>IF(Table1_2[[#This Row],[Date of Joining]]="",AVERAGEIF(Table1_2[Department],Table1_2[[#This Row],[Department]],Table1_2[Date of Joining]),Table1_2[[#This Row],[Date of Joining]])</f>
        <v>42897</v>
      </c>
      <c r="L129">
        <f>IF(Table1_2[[#This Row],[Performance Rating]]="",AVERAGEIF(Table1_2[Department],Table1_2[[#This Row],[Department]],Table1_2[Performance Rating]),Table1_2[[#This Row],[Performance Rating]])</f>
        <v>2</v>
      </c>
      <c r="M129">
        <f>ROUND(Table1_2[[#This Row],[Performance Rating2]],0)</f>
        <v>2</v>
      </c>
      <c r="N129" t="s">
        <v>180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3">
        <v>30402</v>
      </c>
      <c r="F130" s="16">
        <v>42904</v>
      </c>
      <c r="G130">
        <v>1</v>
      </c>
      <c r="I130" t="s">
        <v>274</v>
      </c>
      <c r="J130" s="15">
        <f>IF(Table1_2[[#This Row],[Salary]]="N/A",AVERAGEIF(Table1_2[Department],Table1_2[[#This Row],[Department]],Table1_2[Salary]),Table1_2[[#This Row],[Salary]])</f>
        <v>30402</v>
      </c>
      <c r="K130" s="16">
        <f>IF(Table1_2[[#This Row],[Date of Joining]]="",AVERAGEIF(Table1_2[Department],Table1_2[[#This Row],[Department]],Table1_2[Date of Joining]),Table1_2[[#This Row],[Date of Joining]])</f>
        <v>42904</v>
      </c>
      <c r="L130">
        <f>IF(Table1_2[[#This Row],[Performance Rating]]="",AVERAGEIF(Table1_2[Department],Table1_2[[#This Row],[Department]],Table1_2[Performance Rating]),Table1_2[[#This Row],[Performance Rating]])</f>
        <v>1</v>
      </c>
      <c r="M130">
        <f>ROUND(Table1_2[[#This Row],[Performance Rating2]],0)</f>
        <v>1</v>
      </c>
      <c r="N130" t="s">
        <v>180</v>
      </c>
    </row>
    <row r="131" spans="1:14" x14ac:dyDescent="0.35">
      <c r="A131" t="s">
        <v>138</v>
      </c>
      <c r="B131" t="s">
        <v>165</v>
      </c>
      <c r="C131" t="s">
        <v>170</v>
      </c>
      <c r="D131" t="s">
        <v>175</v>
      </c>
      <c r="E131" s="13">
        <v>62994</v>
      </c>
      <c r="F131" s="16">
        <v>42911</v>
      </c>
      <c r="I131" t="s">
        <v>221</v>
      </c>
      <c r="J131" s="15">
        <f>IF(Table1_2[[#This Row],[Salary]]="N/A",AVERAGEIF(Table1_2[Department],Table1_2[[#This Row],[Department]],Table1_2[Salary]),Table1_2[[#This Row],[Salary]])</f>
        <v>62994</v>
      </c>
      <c r="K131" s="16">
        <f>IF(Table1_2[[#This Row],[Date of Joining]]="",AVERAGEIF(Table1_2[Department],Table1_2[[#This Row],[Department]],Table1_2[Date of Joining]),Table1_2[[#This Row],[Date of Joining]])</f>
        <v>42911</v>
      </c>
      <c r="L131">
        <f>IF(Table1_2[[#This Row],[Performance Rating]]="",AVERAGEIF(Table1_2[Department],Table1_2[[#This Row],[Department]],Table1_2[Performance Rating]),Table1_2[[#This Row],[Performance Rating]])</f>
        <v>3.1086956521739131</v>
      </c>
      <c r="M131">
        <f>ROUND(Table1_2[[#This Row],[Performance Rating2]],0)</f>
        <v>3</v>
      </c>
      <c r="N131" t="s">
        <v>180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3">
        <v>48289</v>
      </c>
      <c r="F132" s="16"/>
      <c r="G132">
        <v>3</v>
      </c>
      <c r="H132" t="s">
        <v>180</v>
      </c>
      <c r="I132" t="s">
        <v>189</v>
      </c>
      <c r="J132" s="15">
        <f>IF(Table1_2[[#This Row],[Salary]]="N/A",AVERAGEIF(Table1_2[Department],Table1_2[[#This Row],[Department]],Table1_2[Salary]),Table1_2[[#This Row],[Salary]])</f>
        <v>48289</v>
      </c>
      <c r="K132" s="16">
        <f>IF(Table1_2[[#This Row],[Date of Joining]]="",AVERAGEIF(Table1_2[Department],Table1_2[[#This Row],[Department]],Table1_2[Date of Joining]),Table1_2[[#This Row],[Date of Joining]])</f>
        <v>42563.041666666664</v>
      </c>
      <c r="L132">
        <f>IF(Table1_2[[#This Row],[Performance Rating]]="",AVERAGEIF(Table1_2[Department],Table1_2[[#This Row],[Department]],Table1_2[Performance Rating]),Table1_2[[#This Row],[Performance Rating]])</f>
        <v>3</v>
      </c>
      <c r="M132">
        <f>ROUND(Table1_2[[#This Row],[Performance Rating2]],0)</f>
        <v>3</v>
      </c>
      <c r="N132" t="s">
        <v>180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3">
        <v>34402</v>
      </c>
      <c r="F133" s="16">
        <v>42925</v>
      </c>
      <c r="G133">
        <v>3</v>
      </c>
      <c r="H133" t="s">
        <v>179</v>
      </c>
      <c r="I133" t="s">
        <v>218</v>
      </c>
      <c r="J133" s="15">
        <f>IF(Table1_2[[#This Row],[Salary]]="N/A",AVERAGEIF(Table1_2[Department],Table1_2[[#This Row],[Department]],Table1_2[Salary]),Table1_2[[#This Row],[Salary]])</f>
        <v>34402</v>
      </c>
      <c r="K133" s="16">
        <f>IF(Table1_2[[#This Row],[Date of Joining]]="",AVERAGEIF(Table1_2[Department],Table1_2[[#This Row],[Department]],Table1_2[Date of Joining]),Table1_2[[#This Row],[Date of Joining]])</f>
        <v>42925</v>
      </c>
      <c r="L133">
        <f>IF(Table1_2[[#This Row],[Performance Rating]]="",AVERAGEIF(Table1_2[Department],Table1_2[[#This Row],[Department]],Table1_2[Performance Rating]),Table1_2[[#This Row],[Performance Rating]])</f>
        <v>3</v>
      </c>
      <c r="M133">
        <f>ROUND(Table1_2[[#This Row],[Performance Rating2]],0)</f>
        <v>3</v>
      </c>
      <c r="N133" t="s">
        <v>179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3">
        <v>38678</v>
      </c>
      <c r="F134" s="16">
        <v>42932</v>
      </c>
      <c r="G134">
        <v>3</v>
      </c>
      <c r="H134" t="s">
        <v>179</v>
      </c>
      <c r="I134" t="s">
        <v>275</v>
      </c>
      <c r="J134" s="15">
        <f>IF(Table1_2[[#This Row],[Salary]]="N/A",AVERAGEIF(Table1_2[Department],Table1_2[[#This Row],[Department]],Table1_2[Salary]),Table1_2[[#This Row],[Salary]])</f>
        <v>38678</v>
      </c>
      <c r="K134" s="16">
        <f>IF(Table1_2[[#This Row],[Date of Joining]]="",AVERAGEIF(Table1_2[Department],Table1_2[[#This Row],[Department]],Table1_2[Date of Joining]),Table1_2[[#This Row],[Date of Joining]])</f>
        <v>42932</v>
      </c>
      <c r="L134">
        <f>IF(Table1_2[[#This Row],[Performance Rating]]="",AVERAGEIF(Table1_2[Department],Table1_2[[#This Row],[Department]],Table1_2[Performance Rating]),Table1_2[[#This Row],[Performance Rating]])</f>
        <v>3</v>
      </c>
      <c r="M134">
        <f>ROUND(Table1_2[[#This Row],[Performance Rating2]],0)</f>
        <v>3</v>
      </c>
      <c r="N134" t="s">
        <v>179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3">
        <v>45758</v>
      </c>
      <c r="F135" s="16">
        <v>42939</v>
      </c>
      <c r="G135">
        <v>3</v>
      </c>
      <c r="I135" t="s">
        <v>264</v>
      </c>
      <c r="J135" s="15">
        <f>IF(Table1_2[[#This Row],[Salary]]="N/A",AVERAGEIF(Table1_2[Department],Table1_2[[#This Row],[Department]],Table1_2[Salary]),Table1_2[[#This Row],[Salary]])</f>
        <v>45758</v>
      </c>
      <c r="K135" s="16">
        <f>IF(Table1_2[[#This Row],[Date of Joining]]="",AVERAGEIF(Table1_2[Department],Table1_2[[#This Row],[Department]],Table1_2[Date of Joining]),Table1_2[[#This Row],[Date of Joining]])</f>
        <v>42939</v>
      </c>
      <c r="L135">
        <f>IF(Table1_2[[#This Row],[Performance Rating]]="",AVERAGEIF(Table1_2[Department],Table1_2[[#This Row],[Department]],Table1_2[Performance Rating]),Table1_2[[#This Row],[Performance Rating]])</f>
        <v>3</v>
      </c>
      <c r="M135">
        <f>ROUND(Table1_2[[#This Row],[Performance Rating2]],0)</f>
        <v>3</v>
      </c>
      <c r="N135" t="s">
        <v>180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3">
        <v>62476</v>
      </c>
      <c r="F136" s="16">
        <v>42946</v>
      </c>
      <c r="G136">
        <v>1</v>
      </c>
      <c r="H136" t="s">
        <v>179</v>
      </c>
      <c r="I136" t="s">
        <v>231</v>
      </c>
      <c r="J136" s="15">
        <f>IF(Table1_2[[#This Row],[Salary]]="N/A",AVERAGEIF(Table1_2[Department],Table1_2[[#This Row],[Department]],Table1_2[Salary]),Table1_2[[#This Row],[Salary]])</f>
        <v>62476</v>
      </c>
      <c r="K136" s="16">
        <f>IF(Table1_2[[#This Row],[Date of Joining]]="",AVERAGEIF(Table1_2[Department],Table1_2[[#This Row],[Department]],Table1_2[Date of Joining]),Table1_2[[#This Row],[Date of Joining]])</f>
        <v>42946</v>
      </c>
      <c r="L136">
        <f>IF(Table1_2[[#This Row],[Performance Rating]]="",AVERAGEIF(Table1_2[Department],Table1_2[[#This Row],[Department]],Table1_2[Performance Rating]),Table1_2[[#This Row],[Performance Rating]])</f>
        <v>1</v>
      </c>
      <c r="M136">
        <f>ROUND(Table1_2[[#This Row],[Performance Rating2]],0)</f>
        <v>1</v>
      </c>
      <c r="N136" t="s">
        <v>179</v>
      </c>
    </row>
    <row r="137" spans="1:14" x14ac:dyDescent="0.35">
      <c r="A137" t="s">
        <v>144</v>
      </c>
      <c r="B137" t="s">
        <v>178</v>
      </c>
      <c r="C137" t="s">
        <v>169</v>
      </c>
      <c r="D137" t="s">
        <v>175</v>
      </c>
      <c r="E137" s="13">
        <v>39280</v>
      </c>
      <c r="F137" s="16">
        <v>42953</v>
      </c>
      <c r="G137">
        <v>3</v>
      </c>
      <c r="H137" t="s">
        <v>181</v>
      </c>
      <c r="I137" t="s">
        <v>214</v>
      </c>
      <c r="J137" s="15">
        <f>IF(Table1_2[[#This Row],[Salary]]="N/A",AVERAGEIF(Table1_2[Department],Table1_2[[#This Row],[Department]],Table1_2[Salary]),Table1_2[[#This Row],[Salary]])</f>
        <v>39280</v>
      </c>
      <c r="K137" s="16">
        <f>IF(Table1_2[[#This Row],[Date of Joining]]="",AVERAGEIF(Table1_2[Department],Table1_2[[#This Row],[Department]],Table1_2[Date of Joining]),Table1_2[[#This Row],[Date of Joining]])</f>
        <v>42953</v>
      </c>
      <c r="L137">
        <f>IF(Table1_2[[#This Row],[Performance Rating]]="",AVERAGEIF(Table1_2[Department],Table1_2[[#This Row],[Department]],Table1_2[Performance Rating]),Table1_2[[#This Row],[Performance Rating]])</f>
        <v>3</v>
      </c>
      <c r="M137">
        <f>ROUND(Table1_2[[#This Row],[Performance Rating2]],0)</f>
        <v>3</v>
      </c>
      <c r="N137" t="s">
        <v>181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3">
        <v>60335</v>
      </c>
      <c r="F138" s="16">
        <v>42960</v>
      </c>
      <c r="G138">
        <v>4</v>
      </c>
      <c r="H138" t="s">
        <v>179</v>
      </c>
      <c r="I138" t="s">
        <v>227</v>
      </c>
      <c r="J138" s="15">
        <f>IF(Table1_2[[#This Row],[Salary]]="N/A",AVERAGEIF(Table1_2[Department],Table1_2[[#This Row],[Department]],Table1_2[Salary]),Table1_2[[#This Row],[Salary]])</f>
        <v>60335</v>
      </c>
      <c r="K138" s="16">
        <f>IF(Table1_2[[#This Row],[Date of Joining]]="",AVERAGEIF(Table1_2[Department],Table1_2[[#This Row],[Department]],Table1_2[Date of Joining]),Table1_2[[#This Row],[Date of Joining]])</f>
        <v>42960</v>
      </c>
      <c r="L138">
        <f>IF(Table1_2[[#This Row],[Performance Rating]]="",AVERAGEIF(Table1_2[Department],Table1_2[[#This Row],[Department]],Table1_2[Performance Rating]),Table1_2[[#This Row],[Performance Rating]])</f>
        <v>4</v>
      </c>
      <c r="M138">
        <f>ROUND(Table1_2[[#This Row],[Performance Rating2]],0)</f>
        <v>4</v>
      </c>
      <c r="N138" t="s">
        <v>179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3">
        <v>84968</v>
      </c>
      <c r="F139" s="16">
        <v>42967</v>
      </c>
      <c r="I139" t="s">
        <v>276</v>
      </c>
      <c r="J139" s="15">
        <f>IF(Table1_2[[#This Row],[Salary]]="N/A",AVERAGEIF(Table1_2[Department],Table1_2[[#This Row],[Department]],Table1_2[Salary]),Table1_2[[#This Row],[Salary]])</f>
        <v>84968</v>
      </c>
      <c r="K139" s="16">
        <f>IF(Table1_2[[#This Row],[Date of Joining]]="",AVERAGEIF(Table1_2[Department],Table1_2[[#This Row],[Department]],Table1_2[Date of Joining]),Table1_2[[#This Row],[Date of Joining]])</f>
        <v>42967</v>
      </c>
      <c r="L139">
        <f>IF(Table1_2[[#This Row],[Performance Rating]]="",AVERAGEIF(Table1_2[Department],Table1_2[[#This Row],[Department]],Table1_2[Performance Rating]),Table1_2[[#This Row],[Performance Rating]])</f>
        <v>2.7</v>
      </c>
      <c r="M139">
        <f>ROUND(Table1_2[[#This Row],[Performance Rating2]],0)</f>
        <v>3</v>
      </c>
      <c r="N139" t="s">
        <v>180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13">
        <v>84750</v>
      </c>
      <c r="F140" s="16">
        <v>42974</v>
      </c>
      <c r="G140">
        <v>4</v>
      </c>
      <c r="H140" t="s">
        <v>181</v>
      </c>
      <c r="I140" t="s">
        <v>195</v>
      </c>
      <c r="J140" s="15">
        <f>IF(Table1_2[[#This Row],[Salary]]="N/A",AVERAGEIF(Table1_2[Department],Table1_2[[#This Row],[Department]],Table1_2[Salary]),Table1_2[[#This Row],[Salary]])</f>
        <v>84750</v>
      </c>
      <c r="K140" s="16">
        <f>IF(Table1_2[[#This Row],[Date of Joining]]="",AVERAGEIF(Table1_2[Department],Table1_2[[#This Row],[Department]],Table1_2[Date of Joining]),Table1_2[[#This Row],[Date of Joining]])</f>
        <v>42974</v>
      </c>
      <c r="L140">
        <f>IF(Table1_2[[#This Row],[Performance Rating]]="",AVERAGEIF(Table1_2[Department],Table1_2[[#This Row],[Department]],Table1_2[Performance Rating]),Table1_2[[#This Row],[Performance Rating]])</f>
        <v>4</v>
      </c>
      <c r="M140">
        <f>ROUND(Table1_2[[#This Row],[Performance Rating2]],0)</f>
        <v>4</v>
      </c>
      <c r="N140" t="s">
        <v>181</v>
      </c>
    </row>
    <row r="141" spans="1:14" x14ac:dyDescent="0.35">
      <c r="A141" t="s">
        <v>148</v>
      </c>
      <c r="B141" t="s">
        <v>165</v>
      </c>
      <c r="C141" t="s">
        <v>169</v>
      </c>
      <c r="D141" t="s">
        <v>174</v>
      </c>
      <c r="E141" s="13">
        <v>73348</v>
      </c>
      <c r="F141" s="16">
        <v>42981</v>
      </c>
      <c r="G141">
        <v>2</v>
      </c>
      <c r="I141" t="s">
        <v>243</v>
      </c>
      <c r="J141" s="15">
        <f>IF(Table1_2[[#This Row],[Salary]]="N/A",AVERAGEIF(Table1_2[Department],Table1_2[[#This Row],[Department]],Table1_2[Salary]),Table1_2[[#This Row],[Salary]])</f>
        <v>73348</v>
      </c>
      <c r="K141" s="16">
        <f>IF(Table1_2[[#This Row],[Date of Joining]]="",AVERAGEIF(Table1_2[Department],Table1_2[[#This Row],[Department]],Table1_2[Date of Joining]),Table1_2[[#This Row],[Date of Joining]])</f>
        <v>42981</v>
      </c>
      <c r="L141">
        <f>IF(Table1_2[[#This Row],[Performance Rating]]="",AVERAGEIF(Table1_2[Department],Table1_2[[#This Row],[Department]],Table1_2[Performance Rating]),Table1_2[[#This Row],[Performance Rating]])</f>
        <v>2</v>
      </c>
      <c r="M141">
        <f>ROUND(Table1_2[[#This Row],[Performance Rating2]],0)</f>
        <v>2</v>
      </c>
      <c r="N141" t="s">
        <v>180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3" t="s">
        <v>177</v>
      </c>
      <c r="F142" s="16">
        <v>42988</v>
      </c>
      <c r="G142">
        <v>4</v>
      </c>
      <c r="H142" t="s">
        <v>179</v>
      </c>
      <c r="I142" t="s">
        <v>182</v>
      </c>
      <c r="J142" s="15">
        <f>IF(Table1_2[[#This Row],[Salary]]="N/A",AVERAGEIF(Table1_2[Department],Table1_2[[#This Row],[Department]],Table1_2[Salary]),Table1_2[[#This Row],[Salary]])</f>
        <v>67929.08</v>
      </c>
      <c r="K142" s="16">
        <f>IF(Table1_2[[#This Row],[Date of Joining]]="",AVERAGEIF(Table1_2[Department],Table1_2[[#This Row],[Department]],Table1_2[Date of Joining]),Table1_2[[#This Row],[Date of Joining]])</f>
        <v>42988</v>
      </c>
      <c r="L142">
        <f>IF(Table1_2[[#This Row],[Performance Rating]]="",AVERAGEIF(Table1_2[Department],Table1_2[[#This Row],[Department]],Table1_2[Performance Rating]),Table1_2[[#This Row],[Performance Rating]])</f>
        <v>4</v>
      </c>
      <c r="M142">
        <f>ROUND(Table1_2[[#This Row],[Performance Rating2]],0)</f>
        <v>4</v>
      </c>
      <c r="N142" t="s">
        <v>179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3">
        <v>66882</v>
      </c>
      <c r="F143" s="16">
        <v>42995</v>
      </c>
      <c r="G143">
        <v>5</v>
      </c>
      <c r="H143" t="s">
        <v>179</v>
      </c>
      <c r="I143" t="s">
        <v>207</v>
      </c>
      <c r="J143" s="15">
        <f>IF(Table1_2[[#This Row],[Salary]]="N/A",AVERAGEIF(Table1_2[Department],Table1_2[[#This Row],[Department]],Table1_2[Salary]),Table1_2[[#This Row],[Salary]])</f>
        <v>66882</v>
      </c>
      <c r="K143" s="16">
        <f>IF(Table1_2[[#This Row],[Date of Joining]]="",AVERAGEIF(Table1_2[Department],Table1_2[[#This Row],[Department]],Table1_2[Date of Joining]),Table1_2[[#This Row],[Date of Joining]])</f>
        <v>42995</v>
      </c>
      <c r="L143">
        <f>IF(Table1_2[[#This Row],[Performance Rating]]="",AVERAGEIF(Table1_2[Department],Table1_2[[#This Row],[Department]],Table1_2[Performance Rating]),Table1_2[[#This Row],[Performance Rating]])</f>
        <v>5</v>
      </c>
      <c r="M143">
        <f>ROUND(Table1_2[[#This Row],[Performance Rating2]],0)</f>
        <v>5</v>
      </c>
      <c r="N143" t="s">
        <v>179</v>
      </c>
    </row>
    <row r="144" spans="1:14" x14ac:dyDescent="0.35">
      <c r="A144" t="s">
        <v>151</v>
      </c>
      <c r="B144" t="s">
        <v>160</v>
      </c>
      <c r="C144" t="s">
        <v>170</v>
      </c>
      <c r="D144" t="s">
        <v>174</v>
      </c>
      <c r="E144" s="13">
        <v>86775</v>
      </c>
      <c r="F144" s="16">
        <v>43002</v>
      </c>
      <c r="G144">
        <v>3</v>
      </c>
      <c r="H144" t="s">
        <v>179</v>
      </c>
      <c r="I144" t="s">
        <v>212</v>
      </c>
      <c r="J144" s="15">
        <f>IF(Table1_2[[#This Row],[Salary]]="N/A",AVERAGEIF(Table1_2[Department],Table1_2[[#This Row],[Department]],Table1_2[Salary]),Table1_2[[#This Row],[Salary]])</f>
        <v>86775</v>
      </c>
      <c r="K144" s="16">
        <f>IF(Table1_2[[#This Row],[Date of Joining]]="",AVERAGEIF(Table1_2[Department],Table1_2[[#This Row],[Department]],Table1_2[Date of Joining]),Table1_2[[#This Row],[Date of Joining]])</f>
        <v>43002</v>
      </c>
      <c r="L144">
        <f>IF(Table1_2[[#This Row],[Performance Rating]]="",AVERAGEIF(Table1_2[Department],Table1_2[[#This Row],[Department]],Table1_2[Performance Rating]),Table1_2[[#This Row],[Performance Rating]])</f>
        <v>3</v>
      </c>
      <c r="M144">
        <f>ROUND(Table1_2[[#This Row],[Performance Rating2]],0)</f>
        <v>3</v>
      </c>
      <c r="N144" t="s">
        <v>179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3">
        <v>91620</v>
      </c>
      <c r="F145" s="16">
        <v>43009</v>
      </c>
      <c r="I145" t="s">
        <v>277</v>
      </c>
      <c r="J145" s="15">
        <f>IF(Table1_2[[#This Row],[Salary]]="N/A",AVERAGEIF(Table1_2[Department],Table1_2[[#This Row],[Department]],Table1_2[Salary]),Table1_2[[#This Row],[Salary]])</f>
        <v>91620</v>
      </c>
      <c r="K145" s="16">
        <f>IF(Table1_2[[#This Row],[Date of Joining]]="",AVERAGEIF(Table1_2[Department],Table1_2[[#This Row],[Department]],Table1_2[Date of Joining]),Table1_2[[#This Row],[Date of Joining]])</f>
        <v>43009</v>
      </c>
      <c r="L145">
        <f>IF(Table1_2[[#This Row],[Performance Rating]]="",AVERAGEIF(Table1_2[Department],Table1_2[[#This Row],[Department]],Table1_2[Performance Rating]),Table1_2[[#This Row],[Performance Rating]])</f>
        <v>2.7272727272727271</v>
      </c>
      <c r="M145">
        <f>ROUND(Table1_2[[#This Row],[Performance Rating2]],0)</f>
        <v>3</v>
      </c>
      <c r="N145" t="s">
        <v>180</v>
      </c>
    </row>
    <row r="146" spans="1:14" x14ac:dyDescent="0.35">
      <c r="A146" t="s">
        <v>153</v>
      </c>
      <c r="B146" t="s">
        <v>159</v>
      </c>
      <c r="C146" t="s">
        <v>170</v>
      </c>
      <c r="D146" t="s">
        <v>174</v>
      </c>
      <c r="E146" s="13">
        <v>94148</v>
      </c>
      <c r="F146" s="16">
        <v>43016</v>
      </c>
      <c r="G146">
        <v>2</v>
      </c>
      <c r="I146" t="s">
        <v>278</v>
      </c>
      <c r="J146" s="15">
        <f>IF(Table1_2[[#This Row],[Salary]]="N/A",AVERAGEIF(Table1_2[Department],Table1_2[[#This Row],[Department]],Table1_2[Salary]),Table1_2[[#This Row],[Salary]])</f>
        <v>94148</v>
      </c>
      <c r="K146" s="16">
        <f>IF(Table1_2[[#This Row],[Date of Joining]]="",AVERAGEIF(Table1_2[Department],Table1_2[[#This Row],[Department]],Table1_2[Date of Joining]),Table1_2[[#This Row],[Date of Joining]])</f>
        <v>43016</v>
      </c>
      <c r="L146">
        <f>IF(Table1_2[[#This Row],[Performance Rating]]="",AVERAGEIF(Table1_2[Department],Table1_2[[#This Row],[Department]],Table1_2[Performance Rating]),Table1_2[[#This Row],[Performance Rating]])</f>
        <v>2</v>
      </c>
      <c r="M146">
        <f>ROUND(Table1_2[[#This Row],[Performance Rating2]],0)</f>
        <v>2</v>
      </c>
      <c r="N146" t="s">
        <v>180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3">
        <v>35627</v>
      </c>
      <c r="F147" s="16">
        <v>43023</v>
      </c>
      <c r="G147">
        <v>5</v>
      </c>
      <c r="H147" t="s">
        <v>181</v>
      </c>
      <c r="I147" t="s">
        <v>275</v>
      </c>
      <c r="J147" s="15">
        <f>IF(Table1_2[[#This Row],[Salary]]="N/A",AVERAGEIF(Table1_2[Department],Table1_2[[#This Row],[Department]],Table1_2[Salary]),Table1_2[[#This Row],[Salary]])</f>
        <v>35627</v>
      </c>
      <c r="K147" s="16">
        <f>IF(Table1_2[[#This Row],[Date of Joining]]="",AVERAGEIF(Table1_2[Department],Table1_2[[#This Row],[Department]],Table1_2[Date of Joining]),Table1_2[[#This Row],[Date of Joining]])</f>
        <v>43023</v>
      </c>
      <c r="L147">
        <f>IF(Table1_2[[#This Row],[Performance Rating]]="",AVERAGEIF(Table1_2[Department],Table1_2[[#This Row],[Department]],Table1_2[Performance Rating]),Table1_2[[#This Row],[Performance Rating]])</f>
        <v>5</v>
      </c>
      <c r="M147">
        <f>ROUND(Table1_2[[#This Row],[Performance Rating2]],0)</f>
        <v>5</v>
      </c>
      <c r="N147" t="s">
        <v>181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3">
        <v>57141</v>
      </c>
      <c r="F148" s="16">
        <v>43030</v>
      </c>
      <c r="G148">
        <v>2</v>
      </c>
      <c r="I148" t="s">
        <v>276</v>
      </c>
      <c r="J148" s="15">
        <f>IF(Table1_2[[#This Row],[Salary]]="N/A",AVERAGEIF(Table1_2[Department],Table1_2[[#This Row],[Department]],Table1_2[Salary]),Table1_2[[#This Row],[Salary]])</f>
        <v>57141</v>
      </c>
      <c r="K148" s="16">
        <f>IF(Table1_2[[#This Row],[Date of Joining]]="",AVERAGEIF(Table1_2[Department],Table1_2[[#This Row],[Department]],Table1_2[Date of Joining]),Table1_2[[#This Row],[Date of Joining]])</f>
        <v>43030</v>
      </c>
      <c r="L148">
        <f>IF(Table1_2[[#This Row],[Performance Rating]]="",AVERAGEIF(Table1_2[Department],Table1_2[[#This Row],[Department]],Table1_2[Performance Rating]),Table1_2[[#This Row],[Performance Rating]])</f>
        <v>2</v>
      </c>
      <c r="M148">
        <f>ROUND(Table1_2[[#This Row],[Performance Rating2]],0)</f>
        <v>2</v>
      </c>
      <c r="N148" t="s">
        <v>180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3">
        <v>65270</v>
      </c>
      <c r="F149" s="16">
        <v>43037</v>
      </c>
      <c r="G149">
        <v>1</v>
      </c>
      <c r="I149" t="s">
        <v>279</v>
      </c>
      <c r="J149" s="15">
        <f>IF(Table1_2[[#This Row],[Salary]]="N/A",AVERAGEIF(Table1_2[Department],Table1_2[[#This Row],[Department]],Table1_2[Salary]),Table1_2[[#This Row],[Salary]])</f>
        <v>65270</v>
      </c>
      <c r="K149" s="16">
        <f>IF(Table1_2[[#This Row],[Date of Joining]]="",AVERAGEIF(Table1_2[Department],Table1_2[[#This Row],[Department]],Table1_2[Date of Joining]),Table1_2[[#This Row],[Date of Joining]])</f>
        <v>43037</v>
      </c>
      <c r="L149">
        <f>IF(Table1_2[[#This Row],[Performance Rating]]="",AVERAGEIF(Table1_2[Department],Table1_2[[#This Row],[Department]],Table1_2[Performance Rating]),Table1_2[[#This Row],[Performance Rating]])</f>
        <v>1</v>
      </c>
      <c r="M149">
        <f>ROUND(Table1_2[[#This Row],[Performance Rating2]],0)</f>
        <v>1</v>
      </c>
      <c r="N149" t="s">
        <v>180</v>
      </c>
    </row>
    <row r="150" spans="1:14" x14ac:dyDescent="0.35">
      <c r="A150" t="s">
        <v>157</v>
      </c>
      <c r="B150" t="s">
        <v>165</v>
      </c>
      <c r="C150" t="s">
        <v>170</v>
      </c>
      <c r="D150" t="s">
        <v>175</v>
      </c>
      <c r="E150" s="13">
        <v>67335</v>
      </c>
      <c r="F150" s="16">
        <v>43044</v>
      </c>
      <c r="G150">
        <v>1</v>
      </c>
      <c r="H150" t="s">
        <v>179</v>
      </c>
      <c r="I150" t="s">
        <v>233</v>
      </c>
      <c r="J150" s="15">
        <f>IF(Table1_2[[#This Row],[Salary]]="N/A",AVERAGEIF(Table1_2[Department],Table1_2[[#This Row],[Department]],Table1_2[Salary]),Table1_2[[#This Row],[Salary]])</f>
        <v>67335</v>
      </c>
      <c r="K150" s="16">
        <f>IF(Table1_2[[#This Row],[Date of Joining]]="",AVERAGEIF(Table1_2[Department],Table1_2[[#This Row],[Department]],Table1_2[Date of Joining]),Table1_2[[#This Row],[Date of Joining]])</f>
        <v>43044</v>
      </c>
      <c r="L150">
        <f>IF(Table1_2[[#This Row],[Performance Rating]]="",AVERAGEIF(Table1_2[Department],Table1_2[[#This Row],[Department]],Table1_2[Performance Rating]),Table1_2[[#This Row],[Performance Rating]])</f>
        <v>1</v>
      </c>
      <c r="M150">
        <f>ROUND(Table1_2[[#This Row],[Performance Rating2]],0)</f>
        <v>1</v>
      </c>
      <c r="N150" t="s">
        <v>179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3">
        <v>98475</v>
      </c>
      <c r="F151" s="16">
        <v>43051</v>
      </c>
      <c r="G151">
        <v>5</v>
      </c>
      <c r="H151" t="s">
        <v>179</v>
      </c>
      <c r="I151" t="s">
        <v>280</v>
      </c>
      <c r="J151" s="15">
        <f>IF(Table1_2[[#This Row],[Salary]]="N/A",AVERAGEIF(Table1_2[Department],Table1_2[[#This Row],[Department]],Table1_2[Salary]),Table1_2[[#This Row],[Salary]])</f>
        <v>98475</v>
      </c>
      <c r="K151" s="16">
        <f>IF(Table1_2[[#This Row],[Date of Joining]]="",AVERAGEIF(Table1_2[Department],Table1_2[[#This Row],[Department]],Table1_2[Date of Joining]),Table1_2[[#This Row],[Date of Joining]])</f>
        <v>43051</v>
      </c>
      <c r="L151">
        <f>IF(Table1_2[[#This Row],[Performance Rating]]="",AVERAGEIF(Table1_2[Department],Table1_2[[#This Row],[Department]],Table1_2[Performance Rating]),Table1_2[[#This Row],[Performance Rating]])</f>
        <v>5</v>
      </c>
      <c r="M151">
        <f>ROUND(Table1_2[[#This Row],[Performance Rating2]],0)</f>
        <v>5</v>
      </c>
      <c r="N151" t="s">
        <v>179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AE87F-4648-4506-A988-37562044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2025-11-29T06:36:03Z</dcterms:modified>
</cp:coreProperties>
</file>