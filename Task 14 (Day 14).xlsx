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\Excel\Coading_Challenge\Tasks\Day 14\"/>
    </mc:Choice>
  </mc:AlternateContent>
  <xr:revisionPtr revIDLastSave="0" documentId="13_ncr:1_{5C44B87B-5F98-46C9-8CFC-ACF38F53F1B9}" xr6:coauthVersionLast="36" xr6:coauthVersionMax="36" xr10:uidLastSave="{00000000-0000-0000-0000-000000000000}"/>
  <bookViews>
    <workbookView xWindow="240" yWindow="20" windowWidth="16100" windowHeight="9660" activeTab="3" xr2:uid="{00000000-000D-0000-FFFF-FFFF00000000}"/>
  </bookViews>
  <sheets>
    <sheet name="Sheet1" sheetId="1" r:id="rId1"/>
    <sheet name="Sheet 2" sheetId="3" state="hidden" r:id="rId2"/>
    <sheet name="Cleaned data" sheetId="4" r:id="rId3"/>
    <sheet name="Duplicated data" sheetId="6" r:id="rId4"/>
    <sheet name="Mini Report" sheetId="5" state="hidden" r:id="rId5"/>
  </sheets>
  <definedNames>
    <definedName name="_xlnm._FilterDatabase" localSheetId="2" hidden="1">'Cleaned data'!$V$1:$W$151</definedName>
    <definedName name="_xlnm._FilterDatabase" localSheetId="3" hidden="1">'Duplicated data'!#REF!</definedName>
    <definedName name="_xlnm._FilterDatabase" localSheetId="4" hidden="1">'Mini Report'!$A$11:$E$16</definedName>
    <definedName name="_xlnm._FilterDatabase" localSheetId="1" hidden="1">'Sheet 2'!$A$1:$I$151</definedName>
    <definedName name="_xlnm._FilterDatabase" localSheetId="0" hidden="1">Sheet1!$A$1:$I$151</definedName>
    <definedName name="ExternalData_1" localSheetId="2" hidden="1">'Cleaned data'!$A$1:$K$151</definedName>
    <definedName name="ExternalData_1" localSheetId="3" hidden="1">'Duplicated data'!$A$1:$I$151</definedName>
    <definedName name="ExternalData_1" localSheetId="4" hidden="1">'Mini Report'!#REF!</definedName>
  </definedNames>
  <calcPr calcId="191029"/>
</workbook>
</file>

<file path=xl/calcChain.xml><?xml version="1.0" encoding="utf-8"?>
<calcChain xmlns="http://schemas.openxmlformats.org/spreadsheetml/2006/main">
  <c r="N4" i="6" l="1"/>
  <c r="W2" i="4" l="1"/>
  <c r="V2" i="4"/>
  <c r="V3" i="4"/>
  <c r="W3" i="4"/>
  <c r="V4" i="4"/>
  <c r="W4" i="4"/>
  <c r="V5" i="4"/>
  <c r="W5" i="4"/>
  <c r="V6" i="4"/>
  <c r="W6" i="4"/>
  <c r="V7" i="4"/>
  <c r="W7" i="4"/>
  <c r="V8" i="4"/>
  <c r="W8" i="4"/>
  <c r="V9" i="4"/>
  <c r="W9" i="4"/>
  <c r="V10" i="4"/>
  <c r="W10" i="4"/>
  <c r="V11" i="4"/>
  <c r="W11" i="4"/>
  <c r="V12" i="4"/>
  <c r="W12" i="4"/>
  <c r="V13" i="4"/>
  <c r="W13" i="4"/>
  <c r="V14" i="4"/>
  <c r="W14" i="4"/>
  <c r="V15" i="4"/>
  <c r="W15" i="4"/>
  <c r="V16" i="4"/>
  <c r="W16" i="4"/>
  <c r="V17" i="4"/>
  <c r="W17" i="4"/>
  <c r="V18" i="4"/>
  <c r="W18" i="4"/>
  <c r="V19" i="4"/>
  <c r="W19" i="4"/>
  <c r="V20" i="4"/>
  <c r="W20" i="4"/>
  <c r="V21" i="4"/>
  <c r="W21" i="4"/>
  <c r="V22" i="4"/>
  <c r="W22" i="4"/>
  <c r="V23" i="4"/>
  <c r="W23" i="4"/>
  <c r="V24" i="4"/>
  <c r="W24" i="4"/>
  <c r="V25" i="4"/>
  <c r="W25" i="4"/>
  <c r="V26" i="4"/>
  <c r="W26" i="4"/>
  <c r="V27" i="4"/>
  <c r="W27" i="4"/>
  <c r="V28" i="4"/>
  <c r="W28" i="4"/>
  <c r="V29" i="4"/>
  <c r="W29" i="4"/>
  <c r="V30" i="4"/>
  <c r="W30" i="4"/>
  <c r="V31" i="4"/>
  <c r="W31" i="4"/>
  <c r="V32" i="4"/>
  <c r="W32" i="4"/>
  <c r="V33" i="4"/>
  <c r="W33" i="4"/>
  <c r="V34" i="4"/>
  <c r="W34" i="4"/>
  <c r="V35" i="4"/>
  <c r="W35" i="4"/>
  <c r="V36" i="4"/>
  <c r="W36" i="4"/>
  <c r="V37" i="4"/>
  <c r="W37" i="4"/>
  <c r="V38" i="4"/>
  <c r="W38" i="4"/>
  <c r="V39" i="4"/>
  <c r="W39" i="4"/>
  <c r="V40" i="4"/>
  <c r="W40" i="4"/>
  <c r="V41" i="4"/>
  <c r="W41" i="4"/>
  <c r="V42" i="4"/>
  <c r="W42" i="4"/>
  <c r="V43" i="4"/>
  <c r="W43" i="4"/>
  <c r="V44" i="4"/>
  <c r="W44" i="4"/>
  <c r="V45" i="4"/>
  <c r="W45" i="4"/>
  <c r="V46" i="4"/>
  <c r="W46" i="4"/>
  <c r="V47" i="4"/>
  <c r="W47" i="4"/>
  <c r="V48" i="4"/>
  <c r="W48" i="4"/>
  <c r="V49" i="4"/>
  <c r="W49" i="4"/>
  <c r="V50" i="4"/>
  <c r="W50" i="4"/>
  <c r="V51" i="4"/>
  <c r="W51" i="4"/>
  <c r="V52" i="4"/>
  <c r="W52" i="4"/>
  <c r="V53" i="4"/>
  <c r="W53" i="4"/>
  <c r="V54" i="4"/>
  <c r="W54" i="4"/>
  <c r="V55" i="4"/>
  <c r="W55" i="4"/>
  <c r="V56" i="4"/>
  <c r="W56" i="4"/>
  <c r="V57" i="4"/>
  <c r="W57" i="4"/>
  <c r="V58" i="4"/>
  <c r="W58" i="4"/>
  <c r="V59" i="4"/>
  <c r="W59" i="4"/>
  <c r="V60" i="4"/>
  <c r="W60" i="4"/>
  <c r="V61" i="4"/>
  <c r="W61" i="4"/>
  <c r="V62" i="4"/>
  <c r="W62" i="4"/>
  <c r="V63" i="4"/>
  <c r="W63" i="4"/>
  <c r="V64" i="4"/>
  <c r="W64" i="4"/>
  <c r="V65" i="4"/>
  <c r="W65" i="4"/>
  <c r="V66" i="4"/>
  <c r="W66" i="4"/>
  <c r="V67" i="4"/>
  <c r="W67" i="4"/>
  <c r="V68" i="4"/>
  <c r="W68" i="4"/>
  <c r="V69" i="4"/>
  <c r="W69" i="4"/>
  <c r="V70" i="4"/>
  <c r="W70" i="4"/>
  <c r="V71" i="4"/>
  <c r="W71" i="4"/>
  <c r="V72" i="4"/>
  <c r="W72" i="4"/>
  <c r="V73" i="4"/>
  <c r="W73" i="4"/>
  <c r="V74" i="4"/>
  <c r="W74" i="4"/>
  <c r="V75" i="4"/>
  <c r="W75" i="4"/>
  <c r="V76" i="4"/>
  <c r="W76" i="4"/>
  <c r="V77" i="4"/>
  <c r="W77" i="4"/>
  <c r="V78" i="4"/>
  <c r="W78" i="4"/>
  <c r="V79" i="4"/>
  <c r="W79" i="4"/>
  <c r="V80" i="4"/>
  <c r="W80" i="4"/>
  <c r="V81" i="4"/>
  <c r="W81" i="4"/>
  <c r="V82" i="4"/>
  <c r="W82" i="4"/>
  <c r="V83" i="4"/>
  <c r="W83" i="4"/>
  <c r="V84" i="4"/>
  <c r="W84" i="4"/>
  <c r="V85" i="4"/>
  <c r="W85" i="4"/>
  <c r="V86" i="4"/>
  <c r="W86" i="4"/>
  <c r="V87" i="4"/>
  <c r="W87" i="4"/>
  <c r="V88" i="4"/>
  <c r="W88" i="4"/>
  <c r="V89" i="4"/>
  <c r="W89" i="4"/>
  <c r="V90" i="4"/>
  <c r="W90" i="4"/>
  <c r="V91" i="4"/>
  <c r="W91" i="4"/>
  <c r="V92" i="4"/>
  <c r="W92" i="4"/>
  <c r="V93" i="4"/>
  <c r="W93" i="4"/>
  <c r="V94" i="4"/>
  <c r="W94" i="4"/>
  <c r="V95" i="4"/>
  <c r="W95" i="4"/>
  <c r="V96" i="4"/>
  <c r="W96" i="4"/>
  <c r="V97" i="4"/>
  <c r="W97" i="4"/>
  <c r="V98" i="4"/>
  <c r="W98" i="4"/>
  <c r="V99" i="4"/>
  <c r="W99" i="4"/>
  <c r="V100" i="4"/>
  <c r="W100" i="4"/>
  <c r="V101" i="4"/>
  <c r="W101" i="4"/>
  <c r="V102" i="4"/>
  <c r="W102" i="4"/>
  <c r="V103" i="4"/>
  <c r="W103" i="4"/>
  <c r="V104" i="4"/>
  <c r="W104" i="4"/>
  <c r="V105" i="4"/>
  <c r="W105" i="4"/>
  <c r="V106" i="4"/>
  <c r="W106" i="4"/>
  <c r="V107" i="4"/>
  <c r="W107" i="4"/>
  <c r="V108" i="4"/>
  <c r="W108" i="4"/>
  <c r="V109" i="4"/>
  <c r="W109" i="4"/>
  <c r="V110" i="4"/>
  <c r="W110" i="4"/>
  <c r="V111" i="4"/>
  <c r="W111" i="4"/>
  <c r="V112" i="4"/>
  <c r="W112" i="4"/>
  <c r="V113" i="4"/>
  <c r="W113" i="4"/>
  <c r="V114" i="4"/>
  <c r="W114" i="4"/>
  <c r="V115" i="4"/>
  <c r="W115" i="4"/>
  <c r="V116" i="4"/>
  <c r="W116" i="4"/>
  <c r="V117" i="4"/>
  <c r="W117" i="4"/>
  <c r="V118" i="4"/>
  <c r="W118" i="4"/>
  <c r="V119" i="4"/>
  <c r="W119" i="4"/>
  <c r="V120" i="4"/>
  <c r="W120" i="4"/>
  <c r="V121" i="4"/>
  <c r="W121" i="4"/>
  <c r="V122" i="4"/>
  <c r="W122" i="4"/>
  <c r="V123" i="4"/>
  <c r="W123" i="4"/>
  <c r="V124" i="4"/>
  <c r="W124" i="4"/>
  <c r="V125" i="4"/>
  <c r="W125" i="4"/>
  <c r="V126" i="4"/>
  <c r="W126" i="4"/>
  <c r="V127" i="4"/>
  <c r="W127" i="4"/>
  <c r="V128" i="4"/>
  <c r="W128" i="4"/>
  <c r="V129" i="4"/>
  <c r="W129" i="4"/>
  <c r="V130" i="4"/>
  <c r="W130" i="4"/>
  <c r="V131" i="4"/>
  <c r="W131" i="4"/>
  <c r="V132" i="4"/>
  <c r="W132" i="4"/>
  <c r="V133" i="4"/>
  <c r="W133" i="4"/>
  <c r="V134" i="4"/>
  <c r="W134" i="4"/>
  <c r="V135" i="4"/>
  <c r="W135" i="4"/>
  <c r="V136" i="4"/>
  <c r="W136" i="4"/>
  <c r="V137" i="4"/>
  <c r="W137" i="4"/>
  <c r="V138" i="4"/>
  <c r="W138" i="4"/>
  <c r="V139" i="4"/>
  <c r="W139" i="4"/>
  <c r="V140" i="4"/>
  <c r="W140" i="4"/>
  <c r="V141" i="4"/>
  <c r="W141" i="4"/>
  <c r="V142" i="4"/>
  <c r="W142" i="4"/>
  <c r="V143" i="4"/>
  <c r="W143" i="4"/>
  <c r="V144" i="4"/>
  <c r="W144" i="4"/>
  <c r="V145" i="4"/>
  <c r="W145" i="4"/>
  <c r="V146" i="4"/>
  <c r="W146" i="4"/>
  <c r="V147" i="4"/>
  <c r="W147" i="4"/>
  <c r="V148" i="4"/>
  <c r="W148" i="4"/>
  <c r="V149" i="4"/>
  <c r="W149" i="4"/>
  <c r="V150" i="4"/>
  <c r="W150" i="4"/>
  <c r="V151" i="4"/>
  <c r="W15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74EE20-28E7-45F4-8192-9D443821D111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xr16:uid="{5B50B6A0-1727-40FA-924A-8F59037E7B22}" keepAlive="1" name="Query - Table1 (2)" description="Connection to the 'Table1 (2)' query in the workbook." type="5" refreshedVersion="6" background="1" saveData="1">
    <dbPr connection="Provider=Microsoft.Mashup.OleDb.1;Data Source=$Workbook$;Location=&quot;Table1 (2)&quot;;Extended Properties=&quot;&quot;" command="SELECT * FROM [Table1 (2)]"/>
  </connection>
  <connection id="3" xr16:uid="{0A3F9479-158F-44D8-A02C-BED7AE41AFF3}" keepAlive="1" name="Query - Table1 (3)" description="Connection to the 'Table1 (3)' query in the workbook." type="5" refreshedVersion="6" background="1" saveData="1">
    <dbPr connection="Provider=Microsoft.Mashup.OleDb.1;Data Source=$Workbook$;Location=&quot;Table1 (3)&quot;;Extended Properties=&quot;&quot;" command="SELECT * FROM [Table1 (3)]"/>
  </connection>
</connections>
</file>

<file path=xl/sharedStrings.xml><?xml version="1.0" encoding="utf-8"?>
<sst xmlns="http://schemas.openxmlformats.org/spreadsheetml/2006/main" count="3912" uniqueCount="322">
  <si>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</si>
  <si>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</si>
  <si>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</si>
  <si>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</si>
  <si>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</si>
  <si>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</si>
  <si>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</si>
  <si>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</si>
  <si>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</si>
  <si>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</si>
  <si>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</si>
  <si>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</si>
  <si>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</si>
  <si>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</si>
  <si>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</si>
  <si>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</si>
  <si>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</si>
  <si>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</si>
  <si>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</si>
  <si>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</si>
  <si>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</si>
  <si>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</si>
  <si>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</si>
  <si>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</si>
  <si>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</si>
  <si>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</si>
  <si>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</si>
  <si>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</si>
  <si>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</si>
  <si>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</si>
  <si>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</si>
  <si>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</si>
  <si>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</si>
  <si>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</si>
  <si>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</si>
  <si>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</si>
  <si>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</si>
  <si>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</si>
  <si>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</si>
  <si>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</si>
  <si>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</si>
  <si>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</si>
  <si>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</si>
  <si>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</si>
  <si>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</si>
  <si>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</si>
  <si>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</si>
  <si>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</si>
  <si>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</si>
  <si>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</si>
  <si>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</si>
  <si>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</si>
  <si>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</si>
  <si>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</si>
  <si>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</si>
  <si>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</si>
  <si>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</si>
  <si>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</si>
  <si>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</si>
  <si>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</si>
  <si>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</si>
  <si>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</si>
  <si>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</si>
  <si>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</si>
  <si>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</si>
  <si>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</si>
  <si>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</si>
  <si>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</si>
  <si>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</si>
  <si>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</si>
  <si>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</si>
  <si>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</si>
  <si>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</si>
  <si>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</si>
  <si>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</si>
  <si>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</si>
  <si>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</si>
  <si>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</si>
  <si>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</si>
  <si>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</si>
  <si>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</si>
  <si>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</si>
  <si>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</si>
  <si>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</si>
  <si>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</si>
  <si>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</si>
  <si>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</si>
  <si>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</si>
  <si>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</si>
  <si>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</si>
  <si>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</si>
  <si>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</si>
  <si>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</si>
  <si>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</si>
  <si>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</si>
  <si>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</si>
  <si>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</si>
  <si>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</si>
  <si>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</si>
  <si>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</si>
  <si>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</si>
  <si>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</si>
  <si>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</si>
  <si>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</si>
  <si>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</si>
  <si>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</si>
  <si>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</si>
  <si>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</si>
  <si>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</si>
  <si>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</si>
  <si>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</si>
  <si>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</si>
  <si>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</si>
  <si>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</si>
  <si>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</si>
  <si>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</si>
  <si>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</si>
  <si>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</si>
  <si>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</si>
  <si>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</si>
  <si>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</si>
  <si>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</si>
  <si>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</si>
  <si>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</si>
  <si>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</si>
  <si>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</si>
  <si>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</si>
  <si>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</si>
  <si>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</si>
  <si>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</si>
  <si>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</si>
  <si>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</si>
  <si>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</si>
  <si>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</si>
  <si>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</si>
  <si>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</si>
  <si>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</si>
  <si>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</si>
  <si>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</si>
  <si>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</si>
  <si>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</si>
  <si>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</si>
  <si>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</si>
  <si>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</si>
  <si>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</si>
  <si>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</si>
  <si>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</si>
  <si>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</si>
  <si>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</si>
  <si>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</si>
  <si>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</si>
  <si>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</si>
  <si>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</si>
  <si>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</si>
  <si>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</si>
  <si>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</si>
  <si>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</si>
  <si>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</si>
  <si>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</si>
  <si>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</si>
  <si>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</si>
  <si>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</si>
  <si>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</si>
  <si>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</si>
  <si>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</si>
  <si>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</si>
  <si>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</si>
  <si>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</si>
  <si>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</si>
  <si>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</si>
  <si>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</si>
  <si>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</si>
  <si>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</si>
  <si>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</si>
  <si>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</si>
  <si>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</si>
  <si>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</si>
  <si>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</si>
  <si>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</si>
  <si>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</si>
  <si>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</si>
  <si>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</si>
  <si>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</si>
  <si>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</si>
  <si>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</si>
  <si>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</si>
  <si>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</si>
  <si>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</si>
  <si>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</si>
  <si>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</si>
  <si>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</si>
  <si>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</si>
  <si>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</si>
  <si>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</si>
  <si>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</si>
  <si>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</si>
  <si>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</si>
  <si>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</si>
  <si>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</si>
  <si>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</si>
  <si>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</si>
  <si>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</si>
  <si>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</si>
  <si>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</si>
  <si>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</si>
  <si>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</si>
  <si>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</si>
  <si>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</si>
  <si>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</si>
  <si>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</si>
  <si>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</si>
  <si>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</si>
  <si>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</si>
  <si>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</si>
  <si>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</si>
  <si>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</si>
  <si>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</si>
  <si>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</si>
  <si>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</si>
  <si>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</si>
  <si>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</si>
  <si>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</si>
  <si>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</si>
  <si>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</si>
  <si>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</si>
  <si>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</si>
  <si>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</si>
  <si>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</si>
  <si>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</si>
  <si>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</si>
  <si>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</si>
  <si>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</si>
  <si>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</si>
  <si>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</si>
  <si>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</si>
  <si>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</si>
  <si>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</si>
  <si>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</si>
  <si>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</si>
  <si>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</si>
  <si>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</si>
  <si>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</si>
  <si>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</si>
  <si>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</si>
  <si>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</si>
  <si>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</si>
  <si>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</si>
  <si>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</si>
  <si>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</si>
  <si>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</si>
  <si>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</si>
  <si>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</si>
  <si>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</si>
  <si>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</si>
  <si>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</si>
  <si>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</si>
  <si>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</si>
  <si>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</si>
  <si>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</si>
  <si>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</si>
  <si>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</si>
  <si>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</si>
  <si>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</si>
  <si>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</si>
  <si>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</si>
  <si>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</si>
  <si>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</si>
  <si>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</si>
  <si>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</si>
  <si>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</si>
  <si>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</si>
  <si>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</si>
  <si>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</si>
  <si>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</si>
  <si>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</si>
  <si>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</si>
  <si>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</si>
  <si>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</si>
  <si>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</si>
  <si>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</si>
  <si>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</si>
  <si>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Salary2</t>
  </si>
  <si>
    <t>Date of Joining2</t>
  </si>
  <si>
    <t>Performance Rating2</t>
  </si>
  <si>
    <t>Performance Rating22</t>
  </si>
  <si>
    <t>Gender2</t>
  </si>
  <si>
    <t>Employee ID2</t>
  </si>
  <si>
    <t>EMP</t>
  </si>
  <si>
    <t>Employee ID3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</si>
  <si>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</si>
  <si>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</si>
  <si>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</si>
  <si>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</si>
  <si>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</si>
  <si>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</si>
  <si>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</si>
  <si>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</si>
  <si>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</si>
  <si>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</si>
  <si>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</si>
  <si>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</si>
  <si>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</si>
  <si>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</t>
  </si>
  <si>
    <t>Bottom 5 performers based on performance ratings and Salary</t>
  </si>
  <si>
    <t>Top 5 performers based on performance ratings and Salary</t>
  </si>
  <si>
    <t>Today</t>
  </si>
  <si>
    <t>Now</t>
  </si>
  <si>
    <t>Date of Joining Year</t>
  </si>
  <si>
    <t>Date of Joining Month</t>
  </si>
  <si>
    <t>Mar</t>
  </si>
  <si>
    <t>Jan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</si>
  <si>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</si>
  <si>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</si>
  <si>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</si>
  <si>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</si>
  <si>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</si>
  <si>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</si>
  <si>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</si>
  <si>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</si>
  <si>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</si>
  <si>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</si>
  <si>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Using Index &amp;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</si>
</sst>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yyyy\-mm\-dd\ hh:mm:ss"/>
    <numFmt numFmtId="165" formatCode="&quot;$&quot;#,##0"/>
    <numFmt numFmtId="166" formatCode="_(&quot;$&quot;* #,##0_);_(&quot;$&quot;* \(#,##0\);_(&quot;$&quot;* &quot;-&quot;??_);_(@_)"/>
    <numFmt numFmtId="167" formatCode="dd/mm/yyyy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67E3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theme="9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0" xfId="0" applyBorder="1"/>
    <xf numFmtId="0" fontId="0" fillId="0" borderId="2" xfId="0" applyBorder="1" applyAlignment="1">
      <alignment horizontal="left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6" xfId="0" applyFont="1" applyFill="1" applyBorder="1" applyAlignment="1">
      <alignment horizontal="left" vertical="top"/>
    </xf>
    <xf numFmtId="0" fontId="0" fillId="0" borderId="9" xfId="0" applyBorder="1" applyAlignment="1">
      <alignment horizontal="left"/>
    </xf>
    <xf numFmtId="165" fontId="0" fillId="0" borderId="0" xfId="0" applyNumberFormat="1"/>
    <xf numFmtId="165" fontId="2" fillId="3" borderId="0" xfId="0" applyNumberFormat="1" applyFont="1" applyFill="1"/>
    <xf numFmtId="166" fontId="0" fillId="0" borderId="0" xfId="1" applyNumberFormat="1" applyFont="1"/>
    <xf numFmtId="167" fontId="0" fillId="0" borderId="0" xfId="0" applyNumberFormat="1"/>
    <xf numFmtId="165" fontId="4" fillId="4" borderId="10" xfId="0" applyNumberFormat="1" applyFont="1" applyFill="1" applyBorder="1"/>
    <xf numFmtId="0" fontId="0" fillId="0" borderId="1" xfId="0" applyFill="1" applyBorder="1" applyAlignment="1"/>
    <xf numFmtId="0" fontId="4" fillId="6" borderId="1" xfId="0" applyFont="1" applyFill="1" applyBorder="1" applyAlignment="1">
      <alignment horizontal="left" vertical="top"/>
    </xf>
    <xf numFmtId="0" fontId="0" fillId="5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5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165" fontId="1" fillId="8" borderId="0" xfId="0" applyNumberFormat="1" applyFont="1" applyFill="1"/>
    <xf numFmtId="165" fontId="5" fillId="7" borderId="10" xfId="2" applyNumberFormat="1" applyFont="1" applyFill="1" applyBorder="1" applyAlignment="1">
      <alignment horizontal="left" vertical="top"/>
    </xf>
    <xf numFmtId="167" fontId="6" fillId="3" borderId="10" xfId="0" applyNumberFormat="1" applyFont="1" applyFill="1" applyBorder="1" applyAlignment="1">
      <alignment horizontal="left" vertical="top"/>
    </xf>
    <xf numFmtId="165" fontId="6" fillId="3" borderId="10" xfId="0" applyNumberFormat="1" applyFont="1" applyFill="1" applyBorder="1" applyAlignment="1">
      <alignment horizontal="left" vertical="top"/>
    </xf>
    <xf numFmtId="165" fontId="0" fillId="0" borderId="0" xfId="2" applyNumberFormat="1" applyFont="1" applyAlignment="1">
      <alignment horizontal="left" vertical="top"/>
    </xf>
    <xf numFmtId="167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65" fontId="6" fillId="3" borderId="1" xfId="0" applyNumberFormat="1" applyFont="1" applyFill="1" applyBorder="1" applyAlignment="1">
      <alignment horizontal="left" vertical="top"/>
    </xf>
    <xf numFmtId="165" fontId="5" fillId="7" borderId="1" xfId="2" applyNumberFormat="1" applyFont="1" applyFill="1" applyBorder="1" applyAlignment="1">
      <alignment horizontal="left" vertical="top"/>
    </xf>
    <xf numFmtId="0" fontId="0" fillId="5" borderId="1" xfId="0" applyFont="1" applyFill="1" applyBorder="1"/>
    <xf numFmtId="165" fontId="0" fillId="0" borderId="1" xfId="1" applyNumberFormat="1" applyFont="1" applyBorder="1"/>
    <xf numFmtId="165" fontId="4" fillId="4" borderId="11" xfId="0" applyNumberFormat="1" applyFont="1" applyFill="1" applyBorder="1" applyAlignment="1">
      <alignment horizontal="center"/>
    </xf>
    <xf numFmtId="165" fontId="4" fillId="4" borderId="4" xfId="0" applyNumberFormat="1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165" fontId="4" fillId="4" borderId="0" xfId="0" applyNumberFormat="1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49">
    <dxf>
      <numFmt numFmtId="167" formatCode="dd/mm/yyyy"/>
    </dxf>
    <dxf>
      <numFmt numFmtId="165" formatCode="&quot;$&quot;#,##0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7" formatCode="dd/mm/yyyy"/>
    </dxf>
    <dxf>
      <numFmt numFmtId="166" formatCode="_(&quot;$&quot;* #,##0_);_(&quot;$&quot;* \(#,##0\);_(&quot;$&quot;* &quot;-&quot;??_);_(@_)"/>
    </dxf>
    <dxf>
      <numFmt numFmtId="167" formatCode="dd/mm/yyyy"/>
    </dxf>
    <dxf>
      <numFmt numFmtId="165" formatCode="&quot;$&quot;#,##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67E3B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D208FD-522F-4DD4-8879-96BAC1D6606A}" autoFormatId="16" applyNumberFormats="0" applyBorderFormats="0" applyFontFormats="0" applyPatternFormats="0" applyAlignmentFormats="0" applyWidthHeightFormats="0">
  <queryTableRefresh nextId="26" unboundColumnsRight="9">
    <queryTableFields count="20">
      <queryTableField id="1" name="Employee ID" tableColumnId="1"/>
      <queryTableField id="19" dataBound="0" tableColumnId="17"/>
      <queryTableField id="20" dataBound="0" tableColumnId="18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  <queryTableField id="10" dataBound="0" tableColumnId="10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21" dataBound="0" tableColumnId="11"/>
      <queryTableField id="22" dataBound="0" tableColumnId="12"/>
      <queryTableField id="23" dataBound="0" tableColumnId="19"/>
      <queryTableField id="24" dataBound="0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4DEC852-4EA9-4C6B-9C19-203A9F8528A5}" autoFormatId="16" applyNumberFormats="0" applyBorderFormats="0" applyFontFormats="0" applyPatternFormats="0" applyAlignmentFormats="0" applyWidthHeightFormats="0">
  <queryTableRefresh nextId="28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B9C425-6D0B-4193-9289-C74FC273EB56}" name="Table2" displayName="Table2" ref="A1:I151" totalsRowShown="0" headerRowDxfId="48" dataDxfId="46" headerRowBorderDxfId="47" tableBorderDxfId="45" totalsRowBorderDxfId="44">
  <tableColumns count="9">
    <tableColumn id="1" xr3:uid="{F250159C-DCF3-44BE-9408-1B12EBAD8863}" name="Employee ID" dataDxfId="43"/>
    <tableColumn id="2" xr3:uid="{D4E6FF39-DE9E-4121-AC45-7E0117E766DC}" name="Name" dataDxfId="42"/>
    <tableColumn id="3" xr3:uid="{F1F1DBCF-F3DB-4F82-AE0C-0E34CC6C8F25}" name="Department" dataDxfId="41"/>
    <tableColumn id="4" xr3:uid="{875E957B-AC13-4222-AE92-BCA1319865A4}" name="Country" dataDxfId="40"/>
    <tableColumn id="5" xr3:uid="{0371AE34-0A1F-4B9E-915F-603214C82693}" name="Salary" dataDxfId="39"/>
    <tableColumn id="6" xr3:uid="{48790BFA-79CE-409D-BC08-9394BAD3381C}" name="Date of Joining" dataDxfId="38"/>
    <tableColumn id="7" xr3:uid="{EFDB86DE-35F4-46AE-8609-781A8F8C184A}" name="Performance Rating" dataDxfId="37"/>
    <tableColumn id="8" xr3:uid="{69B44A31-D6B7-43D3-A57C-9AB737B0DCF7}" name="Gender" dataDxfId="36"/>
    <tableColumn id="9" xr3:uid="{FCD3118C-FD99-4027-99D3-49AC8907B94F}" name="Email" dataDxfId="3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B554F-CF75-4E00-92C5-9E8402D42CE7}" name="Table1" displayName="Table1" ref="A1:I151" totalsRowShown="0" headerRowDxfId="34" headerRowBorderDxfId="33" tableBorderDxfId="32" totalsRowBorderDxfId="31">
  <tableColumns count="9">
    <tableColumn id="1" xr3:uid="{7AFFCD28-3D68-43F2-8068-D02C2415080D}" name="Employee ID" dataDxfId="30"/>
    <tableColumn id="2" xr3:uid="{4D098C35-7C83-4C0B-8649-DF6C077F7516}" name="Name" dataDxfId="29"/>
    <tableColumn id="3" xr3:uid="{88123662-7EE0-4EB0-957C-B9702099B74F}" name="Department" dataDxfId="28"/>
    <tableColumn id="4" xr3:uid="{58543BBA-1381-470A-8E62-7E1AC182556E}" name="Country" dataDxfId="27"/>
    <tableColumn id="5" xr3:uid="{DB9EDD89-EF3B-4086-8FE2-74BCCD227C2D}" name="Salary" dataDxfId="26"/>
    <tableColumn id="6" xr3:uid="{6DFE3279-F060-4B27-8C9E-FEF5C863939B}" name="Date of Joining" dataDxfId="25"/>
    <tableColumn id="7" xr3:uid="{A08A414A-8AC4-460B-A930-79D8B4AC62BC}" name="Performance Rating" dataDxfId="24"/>
    <tableColumn id="8" xr3:uid="{59603019-4852-41DC-9991-F31A2BC61C7E}" name="Gender" dataDxfId="23"/>
    <tableColumn id="9" xr3:uid="{4A5A1D14-EB1C-48AA-ACB7-E066203516A6}" name="Email" dataDxfId="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ED7892-B1BA-4794-87B9-CB6943C4A335}" name="Table1_2" displayName="Table1_2" ref="A1:T151" tableType="queryTable" totalsRowShown="0">
  <tableColumns count="20">
    <tableColumn id="1" xr3:uid="{0842ABB7-AF5B-401F-9775-BDF9BCC47C1B}" uniqueName="1" name="Employee ID" queryTableFieldId="1"/>
    <tableColumn id="17" xr3:uid="{FE898AE5-3D12-4F7C-831F-A5C40624CE9E}" uniqueName="17" name="Employee ID2" queryTableFieldId="19" dataDxfId="13"/>
    <tableColumn id="18" xr3:uid="{7D10BE74-1E62-4B19-A73C-DEDF7FF35815}" uniqueName="18" name="Employee ID3" queryTableFieldId="20"/>
    <tableColumn id="2" xr3:uid="{949C528B-CDEB-4DBE-9EA3-02A92F7E1C58}" uniqueName="2" name="Name" queryTableFieldId="2"/>
    <tableColumn id="3" xr3:uid="{589F6203-4BB5-4E75-B66A-284250920F07}" uniqueName="3" name="Department" queryTableFieldId="3"/>
    <tableColumn id="4" xr3:uid="{CB206754-51F1-4703-9B17-301194C871AD}" uniqueName="4" name="Country" queryTableFieldId="4"/>
    <tableColumn id="5" xr3:uid="{89CE59A8-ABF6-4594-98AA-FEB69245BE52}" uniqueName="5" name="Salary" queryTableFieldId="5" dataDxfId="12"/>
    <tableColumn id="6" xr3:uid="{EE2DAA2F-E617-4999-BF99-0825BCD3BE2E}" uniqueName="6" name="Date of Joining" queryTableFieldId="6" dataDxfId="11"/>
    <tableColumn id="7" xr3:uid="{EBA5F4D1-01E1-442F-A370-25E8835A9498}" uniqueName="7" name="Performance Rating" queryTableFieldId="7"/>
    <tableColumn id="8" xr3:uid="{29ED7F5D-8862-4565-8319-78621016F228}" uniqueName="8" name="Gender" queryTableFieldId="8"/>
    <tableColumn id="9" xr3:uid="{29C1AF3C-7CA8-47AF-850E-FFE51269E82C}" uniqueName="9" name="Email" queryTableFieldId="9"/>
    <tableColumn id="10" xr3:uid="{7B070A67-F265-4BE0-ADAF-4B9B73D81893}" uniqueName="10" name="Salary2" queryTableFieldId="10" dataDxfId="10" dataCellStyle="Currency"/>
    <tableColumn id="13" xr3:uid="{B3ED8A0E-1914-4F0A-A8AF-FDCCD36057DD}" uniqueName="13" name="Date of Joining2" queryTableFieldId="13" dataDxfId="9"/>
    <tableColumn id="14" xr3:uid="{466203E1-6ECA-4076-84F5-115D41F080AC}" uniqueName="14" name="Performance Rating2" queryTableFieldId="14" dataDxfId="8"/>
    <tableColumn id="15" xr3:uid="{E97443EC-0713-4A11-97AC-9652EC3E2487}" uniqueName="15" name="Performance Rating22" queryTableFieldId="15" dataDxfId="7"/>
    <tableColumn id="16" xr3:uid="{0B55B171-26ED-43DE-BD82-96F901AD06E6}" uniqueName="16" name="Gender2" queryTableFieldId="16" dataDxfId="6"/>
    <tableColumn id="11" xr3:uid="{E0BCAD53-D097-4B4E-8431-C3FAD590F231}" uniqueName="11" name="Today" queryTableFieldId="21" dataDxfId="5"/>
    <tableColumn id="12" xr3:uid="{9EA7E9B2-3D88-4C91-ABE7-D65BD2A170D6}" uniqueName="12" name="Now" queryTableFieldId="22" dataDxfId="4"/>
    <tableColumn id="19" xr3:uid="{6457CE93-A827-4B62-B960-674AAE6ED557}" uniqueName="19" name="Date of Joining Year" queryTableFieldId="23" dataDxfId="3"/>
    <tableColumn id="20" xr3:uid="{2C0C7198-0C01-4309-9F8C-DFEAADF73963}" uniqueName="20" name="Date of Joining Month" queryTableFieldId="24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34BB63-96C2-455B-B6FA-CBBFC53B3696}" name="Table1_25" displayName="Table1_25" ref="A1:I151" tableType="queryTable" totalsRowShown="0">
  <tableColumns count="9">
    <tableColumn id="1" xr3:uid="{E7860F82-7352-4060-9D7A-E93088AB58E3}" uniqueName="1" name="Employee ID" queryTableFieldId="1"/>
    <tableColumn id="2" xr3:uid="{F9482699-09F3-4F87-A8BA-365A66CBE647}" uniqueName="2" name="Name" queryTableFieldId="2"/>
    <tableColumn id="3" xr3:uid="{7926CD78-291F-4AAE-826A-0A059D45F992}" uniqueName="3" name="Department" queryTableFieldId="3"/>
    <tableColumn id="4" xr3:uid="{4BB78331-AB7C-4AC5-A75C-C2255BDDA83E}" uniqueName="4" name="Country" queryTableFieldId="4"/>
    <tableColumn id="5" xr3:uid="{346A37C4-CDCA-4241-88EB-77F869FA106F}" uniqueName="5" name="Salary" queryTableFieldId="5" dataDxfId="1"/>
    <tableColumn id="6" xr3:uid="{C37E6C5D-E177-4492-8F16-6176CACD82E4}" uniqueName="6" name="Date of Joining" queryTableFieldId="6" dataDxfId="0"/>
    <tableColumn id="7" xr3:uid="{8F16604B-7D76-4D42-93CA-1E279FC5D017}" uniqueName="7" name="Performance Rating" queryTableFieldId="7"/>
    <tableColumn id="8" xr3:uid="{AD2441F4-715C-434E-93BD-79D09BB109A8}" uniqueName="8" name="Gender" queryTableFieldId="8"/>
    <tableColumn id="9" xr3:uid="{7D68C54A-50D7-4607-BA82-7D4FF572D030}" uniqueName="9" name="Email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/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style="3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1" t="s">
        <v>8</v>
      </c>
    </row>
    <row r="2" spans="1:9" x14ac:dyDescent="0.35">
      <c r="A2" s="4" t="s">
        <v>9</v>
      </c>
      <c r="B2" s="1"/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0" t="s">
        <v>182</v>
      </c>
    </row>
    <row r="3" spans="1:9" x14ac:dyDescent="0.35">
      <c r="A3" s="4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0" t="s">
        <v>183</v>
      </c>
    </row>
    <row r="4" spans="1:9" x14ac:dyDescent="0.35">
      <c r="A4" s="4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0" t="s">
        <v>184</v>
      </c>
    </row>
    <row r="5" spans="1:9" x14ac:dyDescent="0.35">
      <c r="A5" s="4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0" t="s">
        <v>185</v>
      </c>
    </row>
    <row r="6" spans="1:9" x14ac:dyDescent="0.35">
      <c r="A6" s="4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0" t="s">
        <v>186</v>
      </c>
    </row>
    <row r="7" spans="1:9" x14ac:dyDescent="0.35">
      <c r="A7" s="4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0" t="s">
        <v>187</v>
      </c>
    </row>
    <row r="8" spans="1:9" x14ac:dyDescent="0.35">
      <c r="A8" s="4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0" t="s">
        <v>185</v>
      </c>
    </row>
    <row r="9" spans="1:9" x14ac:dyDescent="0.35">
      <c r="A9" s="4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0" t="s">
        <v>188</v>
      </c>
    </row>
    <row r="10" spans="1:9" x14ac:dyDescent="0.35">
      <c r="A10" s="4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0" t="s">
        <v>189</v>
      </c>
    </row>
    <row r="11" spans="1:9" x14ac:dyDescent="0.35">
      <c r="A11" s="4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0" t="s">
        <v>190</v>
      </c>
    </row>
    <row r="12" spans="1:9" x14ac:dyDescent="0.35">
      <c r="A12" s="4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0" t="s">
        <v>191</v>
      </c>
    </row>
    <row r="13" spans="1:9" x14ac:dyDescent="0.35">
      <c r="A13" s="4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0" t="s">
        <v>192</v>
      </c>
    </row>
    <row r="14" spans="1:9" x14ac:dyDescent="0.35">
      <c r="A14" s="4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0" t="s">
        <v>183</v>
      </c>
    </row>
    <row r="15" spans="1:9" x14ac:dyDescent="0.35">
      <c r="A15" s="4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0" t="s">
        <v>193</v>
      </c>
    </row>
    <row r="16" spans="1:9" x14ac:dyDescent="0.35">
      <c r="A16" s="4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0" t="s">
        <v>194</v>
      </c>
    </row>
    <row r="17" spans="1:9" x14ac:dyDescent="0.35">
      <c r="A17" s="4" t="s">
        <v>24</v>
      </c>
      <c r="B17" s="1"/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0" t="s">
        <v>195</v>
      </c>
    </row>
    <row r="18" spans="1:9" x14ac:dyDescent="0.35">
      <c r="A18" s="4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0" t="s">
        <v>196</v>
      </c>
    </row>
    <row r="19" spans="1:9" x14ac:dyDescent="0.35">
      <c r="A19" s="4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0" t="s">
        <v>197</v>
      </c>
    </row>
    <row r="20" spans="1:9" x14ac:dyDescent="0.35">
      <c r="A20" s="4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0" t="s">
        <v>198</v>
      </c>
    </row>
    <row r="21" spans="1:9" x14ac:dyDescent="0.35">
      <c r="A21" s="4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0" t="s">
        <v>199</v>
      </c>
    </row>
    <row r="22" spans="1:9" x14ac:dyDescent="0.35">
      <c r="A22" s="4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0" t="s">
        <v>200</v>
      </c>
    </row>
    <row r="23" spans="1:9" x14ac:dyDescent="0.35">
      <c r="A23" s="4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0" t="s">
        <v>201</v>
      </c>
    </row>
    <row r="24" spans="1:9" x14ac:dyDescent="0.35">
      <c r="A24" s="4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0" t="s">
        <v>202</v>
      </c>
    </row>
    <row r="25" spans="1:9" x14ac:dyDescent="0.35">
      <c r="A25" s="4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0" t="s">
        <v>203</v>
      </c>
    </row>
    <row r="26" spans="1:9" x14ac:dyDescent="0.35">
      <c r="A26" s="4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0" t="s">
        <v>204</v>
      </c>
    </row>
    <row r="27" spans="1:9" x14ac:dyDescent="0.35">
      <c r="A27" s="4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0" t="s">
        <v>205</v>
      </c>
    </row>
    <row r="28" spans="1:9" x14ac:dyDescent="0.35">
      <c r="A28" s="4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0" t="s">
        <v>206</v>
      </c>
    </row>
    <row r="29" spans="1:9" x14ac:dyDescent="0.35">
      <c r="A29" s="4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0" t="s">
        <v>207</v>
      </c>
    </row>
    <row r="30" spans="1:9" x14ac:dyDescent="0.35">
      <c r="A30" s="4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0" t="s">
        <v>208</v>
      </c>
    </row>
    <row r="31" spans="1:9" x14ac:dyDescent="0.35">
      <c r="A31" s="4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0" t="s">
        <v>209</v>
      </c>
    </row>
    <row r="32" spans="1:9" x14ac:dyDescent="0.35">
      <c r="A32" s="4" t="s">
        <v>39</v>
      </c>
      <c r="B32" s="1"/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0" t="s">
        <v>210</v>
      </c>
    </row>
    <row r="33" spans="1:9" x14ac:dyDescent="0.35">
      <c r="A33" s="4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0" t="s">
        <v>211</v>
      </c>
    </row>
    <row r="34" spans="1:9" x14ac:dyDescent="0.35">
      <c r="A34" s="4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0" t="s">
        <v>212</v>
      </c>
    </row>
    <row r="35" spans="1:9" x14ac:dyDescent="0.35">
      <c r="A35" s="4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0" t="s">
        <v>213</v>
      </c>
    </row>
    <row r="36" spans="1:9" x14ac:dyDescent="0.35">
      <c r="A36" s="4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0" t="s">
        <v>214</v>
      </c>
    </row>
    <row r="37" spans="1:9" x14ac:dyDescent="0.35">
      <c r="A37" s="4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0" t="s">
        <v>182</v>
      </c>
    </row>
    <row r="38" spans="1:9" x14ac:dyDescent="0.35">
      <c r="A38" s="4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0" t="s">
        <v>215</v>
      </c>
    </row>
    <row r="39" spans="1:9" x14ac:dyDescent="0.35">
      <c r="A39" s="4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0" t="s">
        <v>216</v>
      </c>
    </row>
    <row r="40" spans="1:9" x14ac:dyDescent="0.35">
      <c r="A40" s="4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0" t="s">
        <v>217</v>
      </c>
    </row>
    <row r="41" spans="1:9" x14ac:dyDescent="0.35">
      <c r="A41" s="4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0" t="s">
        <v>218</v>
      </c>
    </row>
    <row r="42" spans="1:9" x14ac:dyDescent="0.35">
      <c r="A42" s="4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0" t="s">
        <v>219</v>
      </c>
    </row>
    <row r="43" spans="1:9" x14ac:dyDescent="0.35">
      <c r="A43" s="4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0" t="s">
        <v>220</v>
      </c>
    </row>
    <row r="44" spans="1:9" x14ac:dyDescent="0.35">
      <c r="A44" s="4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0" t="s">
        <v>221</v>
      </c>
    </row>
    <row r="45" spans="1:9" x14ac:dyDescent="0.35">
      <c r="A45" s="4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0" t="s">
        <v>222</v>
      </c>
    </row>
    <row r="46" spans="1:9" x14ac:dyDescent="0.35">
      <c r="A46" s="4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0" t="s">
        <v>223</v>
      </c>
    </row>
    <row r="47" spans="1:9" x14ac:dyDescent="0.35">
      <c r="A47" s="4" t="s">
        <v>54</v>
      </c>
      <c r="B47" s="1"/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0" t="s">
        <v>183</v>
      </c>
    </row>
    <row r="48" spans="1:9" x14ac:dyDescent="0.35">
      <c r="A48" s="4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0" t="s">
        <v>224</v>
      </c>
    </row>
    <row r="49" spans="1:9" x14ac:dyDescent="0.35">
      <c r="A49" s="4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0" t="s">
        <v>225</v>
      </c>
    </row>
    <row r="50" spans="1:9" x14ac:dyDescent="0.35">
      <c r="A50" s="4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0" t="s">
        <v>187</v>
      </c>
    </row>
    <row r="51" spans="1:9" x14ac:dyDescent="0.35">
      <c r="A51" s="4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0" t="s">
        <v>219</v>
      </c>
    </row>
    <row r="52" spans="1:9" x14ac:dyDescent="0.35">
      <c r="A52" s="4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0" t="s">
        <v>226</v>
      </c>
    </row>
    <row r="53" spans="1:9" x14ac:dyDescent="0.35">
      <c r="A53" s="4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0" t="s">
        <v>227</v>
      </c>
    </row>
    <row r="54" spans="1:9" x14ac:dyDescent="0.35">
      <c r="A54" s="4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0" t="s">
        <v>228</v>
      </c>
    </row>
    <row r="55" spans="1:9" x14ac:dyDescent="0.35">
      <c r="A55" s="4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0" t="s">
        <v>200</v>
      </c>
    </row>
    <row r="56" spans="1:9" x14ac:dyDescent="0.35">
      <c r="A56" s="4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0" t="s">
        <v>229</v>
      </c>
    </row>
    <row r="57" spans="1:9" x14ac:dyDescent="0.35">
      <c r="A57" s="4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0" t="s">
        <v>230</v>
      </c>
    </row>
    <row r="58" spans="1:9" x14ac:dyDescent="0.35">
      <c r="A58" s="4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0" t="s">
        <v>231</v>
      </c>
    </row>
    <row r="59" spans="1:9" x14ac:dyDescent="0.35">
      <c r="A59" s="4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0" t="s">
        <v>207</v>
      </c>
    </row>
    <row r="60" spans="1:9" x14ac:dyDescent="0.35">
      <c r="A60" s="4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0" t="s">
        <v>232</v>
      </c>
    </row>
    <row r="61" spans="1:9" x14ac:dyDescent="0.35">
      <c r="A61" s="4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0" t="s">
        <v>223</v>
      </c>
    </row>
    <row r="62" spans="1:9" x14ac:dyDescent="0.35">
      <c r="A62" s="4" t="s">
        <v>69</v>
      </c>
      <c r="B62" s="1"/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0" t="s">
        <v>233</v>
      </c>
    </row>
    <row r="63" spans="1:9" x14ac:dyDescent="0.35">
      <c r="A63" s="4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0" t="s">
        <v>215</v>
      </c>
    </row>
    <row r="64" spans="1:9" x14ac:dyDescent="0.35">
      <c r="A64" s="4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0" t="s">
        <v>234</v>
      </c>
    </row>
    <row r="65" spans="1:9" x14ac:dyDescent="0.35">
      <c r="A65" s="4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0" t="s">
        <v>235</v>
      </c>
    </row>
    <row r="66" spans="1:9" x14ac:dyDescent="0.35">
      <c r="A66" s="4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0" t="s">
        <v>236</v>
      </c>
    </row>
    <row r="67" spans="1:9" x14ac:dyDescent="0.35">
      <c r="A67" s="4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0" t="s">
        <v>237</v>
      </c>
    </row>
    <row r="68" spans="1:9" x14ac:dyDescent="0.35">
      <c r="A68" s="4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0" t="s">
        <v>238</v>
      </c>
    </row>
    <row r="69" spans="1:9" x14ac:dyDescent="0.35">
      <c r="A69" s="4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0" t="s">
        <v>239</v>
      </c>
    </row>
    <row r="70" spans="1:9" x14ac:dyDescent="0.35">
      <c r="A70" s="4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0" t="s">
        <v>201</v>
      </c>
    </row>
    <row r="71" spans="1:9" x14ac:dyDescent="0.35">
      <c r="A71" s="4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0" t="s">
        <v>240</v>
      </c>
    </row>
    <row r="72" spans="1:9" x14ac:dyDescent="0.35">
      <c r="A72" s="4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0" t="s">
        <v>182</v>
      </c>
    </row>
    <row r="73" spans="1:9" x14ac:dyDescent="0.35">
      <c r="A73" s="4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0" t="s">
        <v>241</v>
      </c>
    </row>
    <row r="74" spans="1:9" x14ac:dyDescent="0.35">
      <c r="A74" s="4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0" t="s">
        <v>190</v>
      </c>
    </row>
    <row r="75" spans="1:9" x14ac:dyDescent="0.35">
      <c r="A75" s="4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0" t="s">
        <v>234</v>
      </c>
    </row>
    <row r="76" spans="1:9" x14ac:dyDescent="0.35">
      <c r="A76" s="4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0" t="s">
        <v>211</v>
      </c>
    </row>
    <row r="77" spans="1:9" x14ac:dyDescent="0.35">
      <c r="A77" s="4" t="s">
        <v>84</v>
      </c>
      <c r="B77" s="1"/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0" t="s">
        <v>242</v>
      </c>
    </row>
    <row r="78" spans="1:9" x14ac:dyDescent="0.35">
      <c r="A78" s="4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0" t="s">
        <v>223</v>
      </c>
    </row>
    <row r="79" spans="1:9" x14ac:dyDescent="0.35">
      <c r="A79" s="4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0" t="s">
        <v>243</v>
      </c>
    </row>
    <row r="80" spans="1:9" x14ac:dyDescent="0.35">
      <c r="A80" s="4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0" t="s">
        <v>244</v>
      </c>
    </row>
    <row r="81" spans="1:9" x14ac:dyDescent="0.35">
      <c r="A81" s="4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0" t="s">
        <v>245</v>
      </c>
    </row>
    <row r="82" spans="1:9" x14ac:dyDescent="0.35">
      <c r="A82" s="4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0" t="s">
        <v>208</v>
      </c>
    </row>
    <row r="83" spans="1:9" x14ac:dyDescent="0.35">
      <c r="A83" s="4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0" t="s">
        <v>246</v>
      </c>
    </row>
    <row r="84" spans="1:9" x14ac:dyDescent="0.35">
      <c r="A84" s="4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0" t="s">
        <v>247</v>
      </c>
    </row>
    <row r="85" spans="1:9" x14ac:dyDescent="0.35">
      <c r="A85" s="4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0" t="s">
        <v>248</v>
      </c>
    </row>
    <row r="86" spans="1:9" x14ac:dyDescent="0.35">
      <c r="A86" s="4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0" t="s">
        <v>220</v>
      </c>
    </row>
    <row r="87" spans="1:9" x14ac:dyDescent="0.35">
      <c r="A87" s="4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0" t="s">
        <v>249</v>
      </c>
    </row>
    <row r="88" spans="1:9" x14ac:dyDescent="0.35">
      <c r="A88" s="4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0" t="s">
        <v>250</v>
      </c>
    </row>
    <row r="89" spans="1:9" x14ac:dyDescent="0.35">
      <c r="A89" s="4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0" t="s">
        <v>203</v>
      </c>
    </row>
    <row r="90" spans="1:9" x14ac:dyDescent="0.35">
      <c r="A90" s="4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0" t="s">
        <v>251</v>
      </c>
    </row>
    <row r="91" spans="1:9" x14ac:dyDescent="0.35">
      <c r="A91" s="4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0" t="s">
        <v>203</v>
      </c>
    </row>
    <row r="92" spans="1:9" x14ac:dyDescent="0.35">
      <c r="A92" s="4" t="s">
        <v>99</v>
      </c>
      <c r="B92" s="1"/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0" t="s">
        <v>240</v>
      </c>
    </row>
    <row r="93" spans="1:9" x14ac:dyDescent="0.35">
      <c r="A93" s="4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0" t="s">
        <v>225</v>
      </c>
    </row>
    <row r="94" spans="1:9" x14ac:dyDescent="0.35">
      <c r="A94" s="4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0" t="s">
        <v>216</v>
      </c>
    </row>
    <row r="95" spans="1:9" x14ac:dyDescent="0.35">
      <c r="A95" s="4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0" t="s">
        <v>252</v>
      </c>
    </row>
    <row r="96" spans="1:9" x14ac:dyDescent="0.35">
      <c r="A96" s="4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0" t="s">
        <v>253</v>
      </c>
    </row>
    <row r="97" spans="1:9" x14ac:dyDescent="0.35">
      <c r="A97" s="4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0" t="s">
        <v>254</v>
      </c>
    </row>
    <row r="98" spans="1:9" x14ac:dyDescent="0.35">
      <c r="A98" s="4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0" t="s">
        <v>255</v>
      </c>
    </row>
    <row r="99" spans="1:9" x14ac:dyDescent="0.35">
      <c r="A99" s="4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0" t="s">
        <v>256</v>
      </c>
    </row>
    <row r="100" spans="1:9" x14ac:dyDescent="0.35">
      <c r="A100" s="4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0" t="s">
        <v>257</v>
      </c>
    </row>
    <row r="101" spans="1:9" x14ac:dyDescent="0.35">
      <c r="A101" s="4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0" t="s">
        <v>258</v>
      </c>
    </row>
    <row r="102" spans="1:9" x14ac:dyDescent="0.35">
      <c r="A102" s="4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0" t="s">
        <v>259</v>
      </c>
    </row>
    <row r="103" spans="1:9" x14ac:dyDescent="0.35">
      <c r="A103" s="4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0" t="s">
        <v>200</v>
      </c>
    </row>
    <row r="104" spans="1:9" x14ac:dyDescent="0.35">
      <c r="A104" s="4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0" t="s">
        <v>260</v>
      </c>
    </row>
    <row r="105" spans="1:9" x14ac:dyDescent="0.35">
      <c r="A105" s="4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0" t="s">
        <v>223</v>
      </c>
    </row>
    <row r="106" spans="1:9" x14ac:dyDescent="0.35">
      <c r="A106" s="4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0" t="s">
        <v>259</v>
      </c>
    </row>
    <row r="107" spans="1:9" x14ac:dyDescent="0.35">
      <c r="A107" s="4" t="s">
        <v>114</v>
      </c>
      <c r="B107" s="1"/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0" t="s">
        <v>182</v>
      </c>
    </row>
    <row r="108" spans="1:9" x14ac:dyDescent="0.35">
      <c r="A108" s="4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0" t="s">
        <v>261</v>
      </c>
    </row>
    <row r="109" spans="1:9" x14ac:dyDescent="0.35">
      <c r="A109" s="4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0" t="s">
        <v>202</v>
      </c>
    </row>
    <row r="110" spans="1:9" x14ac:dyDescent="0.35">
      <c r="A110" s="4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0" t="s">
        <v>262</v>
      </c>
    </row>
    <row r="111" spans="1:9" x14ac:dyDescent="0.35">
      <c r="A111" s="4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0" t="s">
        <v>263</v>
      </c>
    </row>
    <row r="112" spans="1:9" x14ac:dyDescent="0.35">
      <c r="A112" s="4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0" t="s">
        <v>264</v>
      </c>
    </row>
    <row r="113" spans="1:9" x14ac:dyDescent="0.35">
      <c r="A113" s="4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0" t="s">
        <v>239</v>
      </c>
    </row>
    <row r="114" spans="1:9" x14ac:dyDescent="0.35">
      <c r="A114" s="4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0" t="s">
        <v>258</v>
      </c>
    </row>
    <row r="115" spans="1:9" x14ac:dyDescent="0.35">
      <c r="A115" s="4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0" t="s">
        <v>265</v>
      </c>
    </row>
    <row r="116" spans="1:9" x14ac:dyDescent="0.35">
      <c r="A116" s="4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0" t="s">
        <v>235</v>
      </c>
    </row>
    <row r="117" spans="1:9" x14ac:dyDescent="0.35">
      <c r="A117" s="4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0" t="s">
        <v>203</v>
      </c>
    </row>
    <row r="118" spans="1:9" x14ac:dyDescent="0.35">
      <c r="A118" s="4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0" t="s">
        <v>239</v>
      </c>
    </row>
    <row r="119" spans="1:9" x14ac:dyDescent="0.35">
      <c r="A119" s="4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0" t="s">
        <v>266</v>
      </c>
    </row>
    <row r="120" spans="1:9" x14ac:dyDescent="0.35">
      <c r="A120" s="4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0" t="s">
        <v>267</v>
      </c>
    </row>
    <row r="121" spans="1:9" x14ac:dyDescent="0.35">
      <c r="A121" s="4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0" t="s">
        <v>200</v>
      </c>
    </row>
    <row r="122" spans="1:9" x14ac:dyDescent="0.35">
      <c r="A122" s="4" t="s">
        <v>129</v>
      </c>
      <c r="B122" s="1"/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0" t="s">
        <v>268</v>
      </c>
    </row>
    <row r="123" spans="1:9" x14ac:dyDescent="0.35">
      <c r="A123" s="4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0" t="s">
        <v>269</v>
      </c>
    </row>
    <row r="124" spans="1:9" x14ac:dyDescent="0.35">
      <c r="A124" s="4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0" t="s">
        <v>270</v>
      </c>
    </row>
    <row r="125" spans="1:9" x14ac:dyDescent="0.35">
      <c r="A125" s="4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0" t="s">
        <v>248</v>
      </c>
    </row>
    <row r="126" spans="1:9" x14ac:dyDescent="0.35">
      <c r="A126" s="4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0" t="s">
        <v>271</v>
      </c>
    </row>
    <row r="127" spans="1:9" x14ac:dyDescent="0.35">
      <c r="A127" s="4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0" t="s">
        <v>272</v>
      </c>
    </row>
    <row r="128" spans="1:9" x14ac:dyDescent="0.35">
      <c r="A128" s="4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0" t="s">
        <v>273</v>
      </c>
    </row>
    <row r="129" spans="1:9" x14ac:dyDescent="0.35">
      <c r="A129" s="4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0" t="s">
        <v>209</v>
      </c>
    </row>
    <row r="130" spans="1:9" x14ac:dyDescent="0.35">
      <c r="A130" s="4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0" t="s">
        <v>274</v>
      </c>
    </row>
    <row r="131" spans="1:9" x14ac:dyDescent="0.35">
      <c r="A131" s="4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0" t="s">
        <v>221</v>
      </c>
    </row>
    <row r="132" spans="1:9" x14ac:dyDescent="0.35">
      <c r="A132" s="4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0" t="s">
        <v>189</v>
      </c>
    </row>
    <row r="133" spans="1:9" x14ac:dyDescent="0.35">
      <c r="A133" s="4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0" t="s">
        <v>218</v>
      </c>
    </row>
    <row r="134" spans="1:9" x14ac:dyDescent="0.35">
      <c r="A134" s="4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0" t="s">
        <v>275</v>
      </c>
    </row>
    <row r="135" spans="1:9" x14ac:dyDescent="0.35">
      <c r="A135" s="4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0" t="s">
        <v>264</v>
      </c>
    </row>
    <row r="136" spans="1:9" x14ac:dyDescent="0.35">
      <c r="A136" s="4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0" t="s">
        <v>231</v>
      </c>
    </row>
    <row r="137" spans="1:9" x14ac:dyDescent="0.35">
      <c r="A137" s="4" t="s">
        <v>144</v>
      </c>
      <c r="B137" s="1"/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0" t="s">
        <v>214</v>
      </c>
    </row>
    <row r="138" spans="1:9" x14ac:dyDescent="0.35">
      <c r="A138" s="4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0" t="s">
        <v>227</v>
      </c>
    </row>
    <row r="139" spans="1:9" x14ac:dyDescent="0.35">
      <c r="A139" s="4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0" t="s">
        <v>276</v>
      </c>
    </row>
    <row r="140" spans="1:9" x14ac:dyDescent="0.35">
      <c r="A140" s="4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0" t="s">
        <v>195</v>
      </c>
    </row>
    <row r="141" spans="1:9" x14ac:dyDescent="0.35">
      <c r="A141" s="4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0" t="s">
        <v>243</v>
      </c>
    </row>
    <row r="142" spans="1:9" x14ac:dyDescent="0.35">
      <c r="A142" s="4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0" t="s">
        <v>182</v>
      </c>
    </row>
    <row r="143" spans="1:9" x14ac:dyDescent="0.35">
      <c r="A143" s="4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0" t="s">
        <v>207</v>
      </c>
    </row>
    <row r="144" spans="1:9" x14ac:dyDescent="0.35">
      <c r="A144" s="4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0" t="s">
        <v>212</v>
      </c>
    </row>
    <row r="145" spans="1:9" x14ac:dyDescent="0.35">
      <c r="A145" s="4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0" t="s">
        <v>277</v>
      </c>
    </row>
    <row r="146" spans="1:9" x14ac:dyDescent="0.35">
      <c r="A146" s="4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0" t="s">
        <v>278</v>
      </c>
    </row>
    <row r="147" spans="1:9" x14ac:dyDescent="0.35">
      <c r="A147" s="4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0" t="s">
        <v>275</v>
      </c>
    </row>
    <row r="148" spans="1:9" x14ac:dyDescent="0.35">
      <c r="A148" s="4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0" t="s">
        <v>276</v>
      </c>
    </row>
    <row r="149" spans="1:9" x14ac:dyDescent="0.35">
      <c r="A149" s="4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0" t="s">
        <v>279</v>
      </c>
    </row>
    <row r="150" spans="1:9" x14ac:dyDescent="0.35">
      <c r="A150" s="4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0" t="s">
        <v>233</v>
      </c>
    </row>
    <row r="151" spans="1:9" x14ac:dyDescent="0.35">
      <c r="A151" s="7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9">
        <v>43051</v>
      </c>
      <c r="G151" s="8">
        <v>5</v>
      </c>
      <c r="H151" s="8" t="s">
        <v>179</v>
      </c>
      <c r="I151" s="12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BEF9-54C4-42B4-AF7F-8B930CD2D8AF}">
  <dimension ref="A1:I151"/>
  <sheetViews>
    <sheetView workbookViewId="0"/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style="3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  <col min="10" max="10" width="11.90625" bestFit="1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35">
      <c r="A2" s="4" t="s">
        <v>9</v>
      </c>
      <c r="B2" s="1" t="s">
        <v>178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35">
      <c r="A3" s="4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35">
      <c r="A4" s="4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35">
      <c r="A5" s="4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35">
      <c r="A6" s="4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35">
      <c r="A7" s="4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35">
      <c r="A8" s="4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35">
      <c r="A9" s="4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35">
      <c r="A10" s="4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35">
      <c r="A11" s="4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35">
      <c r="A12" s="4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35">
      <c r="A13" s="4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35">
      <c r="A14" s="4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35">
      <c r="A15" s="4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35">
      <c r="A16" s="4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35">
      <c r="A17" s="4" t="s">
        <v>24</v>
      </c>
      <c r="B17" s="1" t="s">
        <v>178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35">
      <c r="A18" s="4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35">
      <c r="A19" s="4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35">
      <c r="A20" s="4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35">
      <c r="A21" s="4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35">
      <c r="A22" s="4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35">
      <c r="A23" s="4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35">
      <c r="A24" s="4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35">
      <c r="A25" s="4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35">
      <c r="A26" s="4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35">
      <c r="A27" s="4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35">
      <c r="A28" s="4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35">
      <c r="A29" s="4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35">
      <c r="A30" s="4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35">
      <c r="A31" s="4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35">
      <c r="A32" s="4" t="s">
        <v>39</v>
      </c>
      <c r="B32" s="1" t="s">
        <v>178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35">
      <c r="A33" s="4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35">
      <c r="A34" s="4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35">
      <c r="A35" s="4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35">
      <c r="A36" s="4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35">
      <c r="A37" s="4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35">
      <c r="A38" s="4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35">
      <c r="A39" s="4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35">
      <c r="A40" s="4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35">
      <c r="A41" s="4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35">
      <c r="A42" s="4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35">
      <c r="A43" s="4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35">
      <c r="A44" s="4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35">
      <c r="A45" s="4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35">
      <c r="A46" s="4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35">
      <c r="A47" s="4" t="s">
        <v>54</v>
      </c>
      <c r="B47" s="1" t="s">
        <v>178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35">
      <c r="A48" s="4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35">
      <c r="A49" s="4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35">
      <c r="A50" s="4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35">
      <c r="A51" s="4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35">
      <c r="A52" s="4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35">
      <c r="A53" s="4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35">
      <c r="A54" s="4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35">
      <c r="A55" s="4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35">
      <c r="A56" s="4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35">
      <c r="A57" s="4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35">
      <c r="A58" s="4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35">
      <c r="A59" s="4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35">
      <c r="A60" s="4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35">
      <c r="A61" s="4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35">
      <c r="A62" s="4" t="s">
        <v>69</v>
      </c>
      <c r="B62" s="1" t="s">
        <v>178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35">
      <c r="A63" s="4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35">
      <c r="A64" s="4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35">
      <c r="A65" s="4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35">
      <c r="A66" s="4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35">
      <c r="A67" s="4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35">
      <c r="A68" s="4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35">
      <c r="A69" s="4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35">
      <c r="A70" s="4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35">
      <c r="A71" s="4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35">
      <c r="A72" s="4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35">
      <c r="A73" s="4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35">
      <c r="A74" s="4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35">
      <c r="A75" s="4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35">
      <c r="A76" s="4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35">
      <c r="A77" s="4" t="s">
        <v>84</v>
      </c>
      <c r="B77" s="1" t="s">
        <v>178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35">
      <c r="A78" s="4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35">
      <c r="A79" s="4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35">
      <c r="A80" s="4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35">
      <c r="A81" s="4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35">
      <c r="A82" s="4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35">
      <c r="A83" s="4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35">
      <c r="A84" s="4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35">
      <c r="A85" s="4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35">
      <c r="A86" s="4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35">
      <c r="A87" s="4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35">
      <c r="A88" s="4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35">
      <c r="A89" s="4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35">
      <c r="A90" s="4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35">
      <c r="A91" s="4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35">
      <c r="A92" s="4" t="s">
        <v>99</v>
      </c>
      <c r="B92" s="1" t="s">
        <v>178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35">
      <c r="A93" s="4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35">
      <c r="A94" s="4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35">
      <c r="A95" s="4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35">
      <c r="A96" s="4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35">
      <c r="A97" s="4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35">
      <c r="A98" s="4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35">
      <c r="A99" s="4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35">
      <c r="A100" s="4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35">
      <c r="A101" s="4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35">
      <c r="A102" s="4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35">
      <c r="A103" s="4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35">
      <c r="A104" s="4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35">
      <c r="A105" s="4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35">
      <c r="A106" s="4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35">
      <c r="A107" s="4" t="s">
        <v>114</v>
      </c>
      <c r="B107" s="1" t="s">
        <v>178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35">
      <c r="A108" s="4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35">
      <c r="A109" s="4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35">
      <c r="A110" s="4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35">
      <c r="A111" s="4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35">
      <c r="A112" s="4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35">
      <c r="A113" s="4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35">
      <c r="A114" s="4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35">
      <c r="A115" s="4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35">
      <c r="A116" s="4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35">
      <c r="A117" s="4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35">
      <c r="A118" s="4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35">
      <c r="A119" s="4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35">
      <c r="A120" s="4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35">
      <c r="A121" s="4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35">
      <c r="A122" s="4" t="s">
        <v>129</v>
      </c>
      <c r="B122" s="1" t="s">
        <v>178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35">
      <c r="A123" s="4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35">
      <c r="A124" s="4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35">
      <c r="A125" s="4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35">
      <c r="A126" s="4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35">
      <c r="A127" s="4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35">
      <c r="A128" s="4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35">
      <c r="A129" s="4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35">
      <c r="A130" s="4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35">
      <c r="A131" s="4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35">
      <c r="A132" s="4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35">
      <c r="A133" s="4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35">
      <c r="A134" s="4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35">
      <c r="A135" s="4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35">
      <c r="A136" s="4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35">
      <c r="A137" s="4" t="s">
        <v>144</v>
      </c>
      <c r="B137" s="1" t="s">
        <v>178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35">
      <c r="A138" s="4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35">
      <c r="A139" s="4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35">
      <c r="A140" s="4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35">
      <c r="A141" s="4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35">
      <c r="A142" s="4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35">
      <c r="A143" s="4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35">
      <c r="A144" s="4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35">
      <c r="A145" s="4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35">
      <c r="A146" s="4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35">
      <c r="A147" s="4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35">
      <c r="A148" s="4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35">
      <c r="A149" s="4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35">
      <c r="A150" s="4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35">
      <c r="A151" s="7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9">
        <v>43051</v>
      </c>
      <c r="G151" s="8">
        <v>5</v>
      </c>
      <c r="H151" s="8" t="s">
        <v>179</v>
      </c>
      <c r="I151" s="8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30F8-6913-4AB0-9FC1-89FC88E4098D}">
  <dimension ref="A1:AB151"/>
  <sheetViews>
    <sheetView topLeftCell="A131" workbookViewId="0">
      <selection activeCell="O6" sqref="O6"/>
    </sheetView>
  </sheetViews>
  <sheetFormatPr defaultRowHeight="14.5" x14ac:dyDescent="0.35"/>
  <cols>
    <col min="1" max="1" width="11.26953125" bestFit="1" customWidth="1"/>
    <col min="2" max="3" width="12.26953125" bestFit="1" customWidth="1"/>
    <col min="4" max="4" width="11.453125" bestFit="1" customWidth="1"/>
    <col min="5" max="5" width="11.08984375" bestFit="1" customWidth="1"/>
    <col min="6" max="6" width="8.453125" bestFit="1" customWidth="1"/>
    <col min="7" max="7" width="7.26953125" bestFit="1" customWidth="1"/>
    <col min="8" max="8" width="13.26953125" bestFit="1" customWidth="1"/>
    <col min="9" max="9" width="17.54296875" bestFit="1" customWidth="1"/>
    <col min="10" max="10" width="8.81640625" bestFit="1" customWidth="1"/>
    <col min="11" max="11" width="20.6328125" bestFit="1" customWidth="1"/>
    <col min="12" max="12" width="8.54296875" bestFit="1" customWidth="1"/>
    <col min="13" max="13" width="14.26953125" bestFit="1" customWidth="1"/>
    <col min="14" max="14" width="18.54296875" bestFit="1" customWidth="1"/>
    <col min="15" max="15" width="19.54296875" bestFit="1" customWidth="1"/>
    <col min="16" max="16" width="8.81640625" bestFit="1" customWidth="1"/>
    <col min="17" max="17" width="10.453125" bestFit="1" customWidth="1"/>
    <col min="18" max="18" width="15.54296875" bestFit="1" customWidth="1"/>
    <col min="19" max="19" width="17.54296875" bestFit="1" customWidth="1"/>
    <col min="20" max="20" width="19.54296875" bestFit="1" customWidth="1"/>
    <col min="21" max="22" width="19.54296875" customWidth="1"/>
    <col min="24" max="24" width="18.54296875" bestFit="1" customWidth="1"/>
    <col min="26" max="26" width="16.81640625" bestFit="1" customWidth="1"/>
    <col min="27" max="27" width="12.453125" bestFit="1" customWidth="1"/>
    <col min="28" max="28" width="16.81640625" bestFit="1" customWidth="1"/>
    <col min="29" max="29" width="12.453125" bestFit="1" customWidth="1"/>
  </cols>
  <sheetData>
    <row r="1" spans="1:28" x14ac:dyDescent="0.35">
      <c r="A1" t="s">
        <v>0</v>
      </c>
      <c r="B1" s="14" t="s">
        <v>286</v>
      </c>
      <c r="C1" s="14" t="s">
        <v>288</v>
      </c>
      <c r="D1" t="s">
        <v>1</v>
      </c>
      <c r="E1" t="s">
        <v>2</v>
      </c>
      <c r="F1" t="s">
        <v>3</v>
      </c>
      <c r="G1" s="13" t="s">
        <v>4</v>
      </c>
      <c r="H1" t="s">
        <v>5</v>
      </c>
      <c r="I1" t="s">
        <v>6</v>
      </c>
      <c r="J1" t="s">
        <v>7</v>
      </c>
      <c r="K1" t="s">
        <v>8</v>
      </c>
      <c r="L1" s="14" t="s">
        <v>281</v>
      </c>
      <c r="M1" s="14" t="s">
        <v>282</v>
      </c>
      <c r="N1" s="14" t="s">
        <v>283</v>
      </c>
      <c r="O1" s="14" t="s">
        <v>284</v>
      </c>
      <c r="P1" s="14" t="s">
        <v>285</v>
      </c>
      <c r="Q1" s="29" t="s">
        <v>305</v>
      </c>
      <c r="R1" s="29" t="s">
        <v>306</v>
      </c>
      <c r="S1" s="29" t="s">
        <v>307</v>
      </c>
      <c r="T1" s="29" t="s">
        <v>308</v>
      </c>
      <c r="U1" s="26"/>
      <c r="V1" s="17" t="s">
        <v>281</v>
      </c>
      <c r="W1" s="17" t="s">
        <v>283</v>
      </c>
      <c r="Y1" s="40" t="s">
        <v>281</v>
      </c>
      <c r="Z1" s="41"/>
      <c r="AA1" s="40" t="s">
        <v>283</v>
      </c>
      <c r="AB1" s="41"/>
    </row>
    <row r="2" spans="1:28" x14ac:dyDescent="0.35">
      <c r="A2" t="s">
        <v>9</v>
      </c>
      <c r="B2" t="s">
        <v>287</v>
      </c>
      <c r="C2">
        <v>1000</v>
      </c>
      <c r="D2" t="s">
        <v>178</v>
      </c>
      <c r="E2" t="s">
        <v>166</v>
      </c>
      <c r="F2" t="s">
        <v>174</v>
      </c>
      <c r="G2" s="13" t="s">
        <v>177</v>
      </c>
      <c r="H2" s="16"/>
      <c r="I2">
        <v>2</v>
      </c>
      <c r="J2" t="s">
        <v>178</v>
      </c>
      <c r="K2" t="s">
        <v>182</v>
      </c>
      <c r="L2" s="15">
        <v>65604.55</v>
      </c>
      <c r="M2" s="16">
        <v>42454.25</v>
      </c>
      <c r="N2">
        <v>2</v>
      </c>
      <c r="O2">
        <v>2</v>
      </c>
      <c r="P2" t="s">
        <v>178</v>
      </c>
      <c r="Q2" s="27">
        <v>45990</v>
      </c>
      <c r="R2" s="28">
        <v>45990.548522916666</v>
      </c>
      <c r="S2" s="26">
        <v>2016</v>
      </c>
      <c r="T2" s="26" t="s">
        <v>309</v>
      </c>
      <c r="U2" s="26"/>
      <c r="V2">
        <f>ROUND(VALUE(Table1_2[[#This Row],[Salary2]]),0)</f>
        <v>65605</v>
      </c>
      <c r="W2">
        <f>VALUE(Table1_2[[#This Row],[Performance Rating22]])</f>
        <v>2</v>
      </c>
      <c r="Y2" s="18" t="s">
        <v>289</v>
      </c>
      <c r="Z2" s="18">
        <v>66268.266666666663</v>
      </c>
      <c r="AA2" s="18" t="s">
        <v>289</v>
      </c>
      <c r="AB2" s="18">
        <v>2.8933333333333335</v>
      </c>
    </row>
    <row r="3" spans="1:28" x14ac:dyDescent="0.35">
      <c r="A3" t="s">
        <v>10</v>
      </c>
      <c r="B3" t="s">
        <v>287</v>
      </c>
      <c r="C3">
        <v>1001</v>
      </c>
      <c r="D3" t="s">
        <v>159</v>
      </c>
      <c r="E3" t="s">
        <v>167</v>
      </c>
      <c r="F3" t="s">
        <v>172</v>
      </c>
      <c r="G3" s="13">
        <v>54255</v>
      </c>
      <c r="H3" s="16">
        <v>42015</v>
      </c>
      <c r="I3">
        <v>1</v>
      </c>
      <c r="J3" t="s">
        <v>179</v>
      </c>
      <c r="K3" t="s">
        <v>183</v>
      </c>
      <c r="L3" s="15">
        <v>54255</v>
      </c>
      <c r="M3" s="16">
        <v>42015</v>
      </c>
      <c r="N3">
        <v>1</v>
      </c>
      <c r="O3">
        <v>1</v>
      </c>
      <c r="P3" t="s">
        <v>179</v>
      </c>
      <c r="Q3" s="27">
        <v>45990</v>
      </c>
      <c r="R3" s="28">
        <v>45990.548522916666</v>
      </c>
      <c r="S3" s="26">
        <v>2015</v>
      </c>
      <c r="T3" s="26" t="s">
        <v>310</v>
      </c>
      <c r="U3" s="26"/>
      <c r="V3">
        <f>ROUND(VALUE(Table1_2[[#This Row],[Salary2]]),0)</f>
        <v>54255</v>
      </c>
      <c r="W3">
        <f>VALUE(Table1_2[[#This Row],[Performance Rating22]])</f>
        <v>1</v>
      </c>
      <c r="Y3" s="18" t="s">
        <v>290</v>
      </c>
      <c r="Z3" s="18">
        <v>1718.3627457714465</v>
      </c>
      <c r="AA3" s="18" t="s">
        <v>290</v>
      </c>
      <c r="AB3" s="18">
        <v>0.10750231948662189</v>
      </c>
    </row>
    <row r="4" spans="1:28" x14ac:dyDescent="0.35">
      <c r="A4" t="s">
        <v>11</v>
      </c>
      <c r="B4" t="s">
        <v>287</v>
      </c>
      <c r="C4">
        <v>1002</v>
      </c>
      <c r="D4" t="s">
        <v>160</v>
      </c>
      <c r="E4" t="s">
        <v>166</v>
      </c>
      <c r="F4" t="s">
        <v>172</v>
      </c>
      <c r="G4" s="13">
        <v>63184</v>
      </c>
      <c r="H4" s="16">
        <v>42022</v>
      </c>
      <c r="I4">
        <v>2</v>
      </c>
      <c r="K4" t="s">
        <v>184</v>
      </c>
      <c r="L4" s="15">
        <v>63184</v>
      </c>
      <c r="M4" s="16">
        <v>42022</v>
      </c>
      <c r="N4">
        <v>2</v>
      </c>
      <c r="O4">
        <v>2</v>
      </c>
      <c r="P4" t="s">
        <v>180</v>
      </c>
      <c r="Q4" s="27">
        <v>45990</v>
      </c>
      <c r="R4" s="28">
        <v>45990.548522916666</v>
      </c>
      <c r="S4" s="26">
        <v>2015</v>
      </c>
      <c r="T4" s="26" t="s">
        <v>310</v>
      </c>
      <c r="U4" s="26"/>
      <c r="V4">
        <f>ROUND(VALUE(Table1_2[[#This Row],[Salary2]]),0)</f>
        <v>63184</v>
      </c>
      <c r="W4">
        <f>VALUE(Table1_2[[#This Row],[Performance Rating22]])</f>
        <v>2</v>
      </c>
      <c r="Y4" s="18" t="s">
        <v>291</v>
      </c>
      <c r="Z4" s="18">
        <v>66330.5</v>
      </c>
      <c r="AA4" s="18" t="s">
        <v>291</v>
      </c>
      <c r="AB4" s="18">
        <v>3</v>
      </c>
    </row>
    <row r="5" spans="1:28" x14ac:dyDescent="0.35">
      <c r="A5" t="s">
        <v>12</v>
      </c>
      <c r="B5" t="s">
        <v>287</v>
      </c>
      <c r="C5">
        <v>1003</v>
      </c>
      <c r="D5" t="s">
        <v>161</v>
      </c>
      <c r="E5" t="s">
        <v>168</v>
      </c>
      <c r="F5" t="s">
        <v>173</v>
      </c>
      <c r="G5" s="13">
        <v>94406</v>
      </c>
      <c r="H5" s="16">
        <v>42029</v>
      </c>
      <c r="I5">
        <v>1</v>
      </c>
      <c r="J5" t="s">
        <v>180</v>
      </c>
      <c r="K5" t="s">
        <v>185</v>
      </c>
      <c r="L5" s="15">
        <v>94406</v>
      </c>
      <c r="M5" s="16">
        <v>42029</v>
      </c>
      <c r="N5">
        <v>1</v>
      </c>
      <c r="O5">
        <v>1</v>
      </c>
      <c r="P5" t="s">
        <v>180</v>
      </c>
      <c r="Q5" s="27">
        <v>45990</v>
      </c>
      <c r="R5" s="28">
        <v>45990.548522916666</v>
      </c>
      <c r="S5" s="26">
        <v>2015</v>
      </c>
      <c r="T5" s="26" t="s">
        <v>310</v>
      </c>
      <c r="U5" s="26"/>
      <c r="V5">
        <f>ROUND(VALUE(Table1_2[[#This Row],[Salary2]]),0)</f>
        <v>94406</v>
      </c>
      <c r="W5">
        <f>VALUE(Table1_2[[#This Row],[Performance Rating22]])</f>
        <v>1</v>
      </c>
      <c r="Y5" s="18" t="s">
        <v>292</v>
      </c>
      <c r="Z5" s="18">
        <v>65072</v>
      </c>
      <c r="AA5" s="18" t="s">
        <v>292</v>
      </c>
      <c r="AB5" s="18">
        <v>3</v>
      </c>
    </row>
    <row r="6" spans="1:28" x14ac:dyDescent="0.35">
      <c r="A6" t="s">
        <v>13</v>
      </c>
      <c r="B6" t="s">
        <v>287</v>
      </c>
      <c r="C6">
        <v>1004</v>
      </c>
      <c r="D6" t="s">
        <v>162</v>
      </c>
      <c r="E6" t="s">
        <v>168</v>
      </c>
      <c r="F6" t="s">
        <v>172</v>
      </c>
      <c r="G6" s="13">
        <v>64120</v>
      </c>
      <c r="H6" s="16">
        <v>42036</v>
      </c>
      <c r="I6">
        <v>1</v>
      </c>
      <c r="J6" t="s">
        <v>180</v>
      </c>
      <c r="K6" t="s">
        <v>186</v>
      </c>
      <c r="L6" s="15">
        <v>64120</v>
      </c>
      <c r="M6" s="16">
        <v>42036</v>
      </c>
      <c r="N6">
        <v>1</v>
      </c>
      <c r="O6">
        <v>1</v>
      </c>
      <c r="P6" t="s">
        <v>180</v>
      </c>
      <c r="Q6" s="27">
        <v>45990</v>
      </c>
      <c r="R6" s="28">
        <v>45990.548522916666</v>
      </c>
      <c r="S6" s="26">
        <v>2015</v>
      </c>
      <c r="T6" s="26" t="s">
        <v>311</v>
      </c>
      <c r="U6" s="26"/>
      <c r="V6">
        <f>ROUND(VALUE(Table1_2[[#This Row],[Salary2]]),0)</f>
        <v>64120</v>
      </c>
      <c r="W6">
        <f>VALUE(Table1_2[[#This Row],[Performance Rating22]])</f>
        <v>1</v>
      </c>
      <c r="Y6" s="18" t="s">
        <v>293</v>
      </c>
      <c r="Z6" s="18">
        <v>21045.559600739482</v>
      </c>
      <c r="AA6" s="18" t="s">
        <v>293</v>
      </c>
      <c r="AB6" s="18">
        <v>1.3166291445394025</v>
      </c>
    </row>
    <row r="7" spans="1:28" x14ac:dyDescent="0.35">
      <c r="A7" t="s">
        <v>14</v>
      </c>
      <c r="B7" t="s">
        <v>287</v>
      </c>
      <c r="C7">
        <v>1005</v>
      </c>
      <c r="D7" t="s">
        <v>160</v>
      </c>
      <c r="E7" t="s">
        <v>169</v>
      </c>
      <c r="F7" t="s">
        <v>174</v>
      </c>
      <c r="G7" s="13">
        <v>78421</v>
      </c>
      <c r="H7" s="16">
        <v>42043</v>
      </c>
      <c r="I7">
        <v>2</v>
      </c>
      <c r="J7" t="s">
        <v>181</v>
      </c>
      <c r="K7" t="s">
        <v>187</v>
      </c>
      <c r="L7" s="15">
        <v>78421</v>
      </c>
      <c r="M7" s="16">
        <v>42043</v>
      </c>
      <c r="N7">
        <v>2</v>
      </c>
      <c r="O7">
        <v>2</v>
      </c>
      <c r="P7" t="s">
        <v>181</v>
      </c>
      <c r="Q7" s="27">
        <v>45990</v>
      </c>
      <c r="R7" s="28">
        <v>45990.548522916666</v>
      </c>
      <c r="S7" s="26">
        <v>2015</v>
      </c>
      <c r="T7" s="26" t="s">
        <v>311</v>
      </c>
      <c r="U7" s="26"/>
      <c r="V7">
        <f>ROUND(VALUE(Table1_2[[#This Row],[Salary2]]),0)</f>
        <v>78421</v>
      </c>
      <c r="W7">
        <f>VALUE(Table1_2[[#This Row],[Performance Rating22]])</f>
        <v>2</v>
      </c>
      <c r="Y7" s="18" t="s">
        <v>294</v>
      </c>
      <c r="Z7" s="18">
        <v>442915578.90827769</v>
      </c>
      <c r="AA7" s="18" t="s">
        <v>294</v>
      </c>
      <c r="AB7" s="18">
        <v>1.7335123042505589</v>
      </c>
    </row>
    <row r="8" spans="1:28" x14ac:dyDescent="0.35">
      <c r="A8" t="s">
        <v>15</v>
      </c>
      <c r="B8" t="s">
        <v>287</v>
      </c>
      <c r="C8">
        <v>1006</v>
      </c>
      <c r="D8" t="s">
        <v>163</v>
      </c>
      <c r="E8" t="s">
        <v>168</v>
      </c>
      <c r="F8" t="s">
        <v>174</v>
      </c>
      <c r="G8" s="13">
        <v>67721</v>
      </c>
      <c r="H8" s="16">
        <v>42050</v>
      </c>
      <c r="J8" t="s">
        <v>180</v>
      </c>
      <c r="K8" t="s">
        <v>185</v>
      </c>
      <c r="L8" s="15">
        <v>67721</v>
      </c>
      <c r="M8" s="16">
        <v>42050</v>
      </c>
      <c r="N8">
        <v>2.7272727272727271</v>
      </c>
      <c r="O8">
        <v>3</v>
      </c>
      <c r="P8" t="s">
        <v>180</v>
      </c>
      <c r="Q8" s="27">
        <v>45990</v>
      </c>
      <c r="R8" s="28">
        <v>45990.548522916666</v>
      </c>
      <c r="S8" s="26">
        <v>2015</v>
      </c>
      <c r="T8" s="26" t="s">
        <v>311</v>
      </c>
      <c r="U8" s="26"/>
      <c r="V8">
        <f>ROUND(VALUE(Table1_2[[#This Row],[Salary2]]),0)</f>
        <v>67721</v>
      </c>
      <c r="W8">
        <f>VALUE(Table1_2[[#This Row],[Performance Rating22]])</f>
        <v>3</v>
      </c>
      <c r="Y8" s="18" t="s">
        <v>295</v>
      </c>
      <c r="Z8" s="18">
        <v>-1.1882233586724487</v>
      </c>
      <c r="AA8" s="18" t="s">
        <v>295</v>
      </c>
      <c r="AB8" s="18">
        <v>-0.92673447257923369</v>
      </c>
    </row>
    <row r="9" spans="1:28" x14ac:dyDescent="0.35">
      <c r="A9" t="s">
        <v>16</v>
      </c>
      <c r="B9" t="s">
        <v>287</v>
      </c>
      <c r="C9">
        <v>1007</v>
      </c>
      <c r="D9" t="s">
        <v>164</v>
      </c>
      <c r="E9" t="s">
        <v>170</v>
      </c>
      <c r="F9" t="s">
        <v>174</v>
      </c>
      <c r="G9" s="13">
        <v>35364</v>
      </c>
      <c r="H9" s="16">
        <v>42057</v>
      </c>
      <c r="I9">
        <v>2</v>
      </c>
      <c r="J9" t="s">
        <v>179</v>
      </c>
      <c r="K9" t="s">
        <v>188</v>
      </c>
      <c r="L9" s="15">
        <v>35364</v>
      </c>
      <c r="M9" s="16">
        <v>42057</v>
      </c>
      <c r="N9">
        <v>2</v>
      </c>
      <c r="O9">
        <v>2</v>
      </c>
      <c r="P9" t="s">
        <v>179</v>
      </c>
      <c r="Q9" s="27">
        <v>45990</v>
      </c>
      <c r="R9" s="28">
        <v>45990.548522916666</v>
      </c>
      <c r="S9" s="26">
        <v>2015</v>
      </c>
      <c r="T9" s="26" t="s">
        <v>311</v>
      </c>
      <c r="U9" s="26"/>
      <c r="V9">
        <f>ROUND(VALUE(Table1_2[[#This Row],[Salary2]]),0)</f>
        <v>35364</v>
      </c>
      <c r="W9">
        <f>VALUE(Table1_2[[#This Row],[Performance Rating22]])</f>
        <v>2</v>
      </c>
      <c r="Y9" s="18" t="s">
        <v>296</v>
      </c>
      <c r="Z9" s="18">
        <v>-0.11985428352306511</v>
      </c>
      <c r="AA9" s="18" t="s">
        <v>296</v>
      </c>
      <c r="AB9" s="18">
        <v>0.10978027104089233</v>
      </c>
    </row>
    <row r="10" spans="1:28" x14ac:dyDescent="0.35">
      <c r="A10" t="s">
        <v>17</v>
      </c>
      <c r="B10" t="s">
        <v>287</v>
      </c>
      <c r="C10">
        <v>1008</v>
      </c>
      <c r="D10" t="s">
        <v>160</v>
      </c>
      <c r="E10" t="s">
        <v>169</v>
      </c>
      <c r="F10" t="s">
        <v>172</v>
      </c>
      <c r="G10" s="13">
        <v>97881</v>
      </c>
      <c r="H10" s="16">
        <v>42064</v>
      </c>
      <c r="J10" t="s">
        <v>181</v>
      </c>
      <c r="K10" t="s">
        <v>189</v>
      </c>
      <c r="L10" s="15">
        <v>97881</v>
      </c>
      <c r="M10" s="16">
        <v>42064</v>
      </c>
      <c r="N10">
        <v>2.9444444444444446</v>
      </c>
      <c r="O10">
        <v>3</v>
      </c>
      <c r="P10" t="s">
        <v>181</v>
      </c>
      <c r="Q10" s="27">
        <v>45990</v>
      </c>
      <c r="R10" s="28">
        <v>45990.548522916666</v>
      </c>
      <c r="S10" s="26">
        <v>2015</v>
      </c>
      <c r="T10" s="26" t="s">
        <v>309</v>
      </c>
      <c r="U10" s="26"/>
      <c r="V10">
        <f>ROUND(VALUE(Table1_2[[#This Row],[Salary2]]),0)</f>
        <v>97881</v>
      </c>
      <c r="W10">
        <f>VALUE(Table1_2[[#This Row],[Performance Rating22]])</f>
        <v>3</v>
      </c>
      <c r="Y10" s="18" t="s">
        <v>297</v>
      </c>
      <c r="Z10" s="18">
        <v>69341</v>
      </c>
      <c r="AA10" s="18" t="s">
        <v>297</v>
      </c>
      <c r="AB10" s="18">
        <v>4</v>
      </c>
    </row>
    <row r="11" spans="1:28" x14ac:dyDescent="0.35">
      <c r="A11" t="s">
        <v>18</v>
      </c>
      <c r="B11" t="s">
        <v>287</v>
      </c>
      <c r="C11">
        <v>1009</v>
      </c>
      <c r="D11" t="s">
        <v>164</v>
      </c>
      <c r="E11" t="s">
        <v>167</v>
      </c>
      <c r="F11" t="s">
        <v>175</v>
      </c>
      <c r="G11" s="13">
        <v>91846</v>
      </c>
      <c r="H11" s="16">
        <v>42071</v>
      </c>
      <c r="J11" t="s">
        <v>180</v>
      </c>
      <c r="K11" t="s">
        <v>190</v>
      </c>
      <c r="L11" s="15">
        <v>91846</v>
      </c>
      <c r="M11" s="16">
        <v>42071</v>
      </c>
      <c r="N11">
        <v>2.7</v>
      </c>
      <c r="O11">
        <v>3</v>
      </c>
      <c r="P11" t="s">
        <v>180</v>
      </c>
      <c r="Q11" s="27">
        <v>45990</v>
      </c>
      <c r="R11" s="28">
        <v>45990.548522916666</v>
      </c>
      <c r="S11" s="26">
        <v>2015</v>
      </c>
      <c r="T11" s="26" t="s">
        <v>309</v>
      </c>
      <c r="U11" s="26"/>
      <c r="V11">
        <f>ROUND(VALUE(Table1_2[[#This Row],[Salary2]]),0)</f>
        <v>91846</v>
      </c>
      <c r="W11">
        <f>VALUE(Table1_2[[#This Row],[Performance Rating22]])</f>
        <v>3</v>
      </c>
      <c r="Y11" s="18" t="s">
        <v>298</v>
      </c>
      <c r="Z11" s="18">
        <v>30280</v>
      </c>
      <c r="AA11" s="18" t="s">
        <v>298</v>
      </c>
      <c r="AB11" s="18">
        <v>1</v>
      </c>
    </row>
    <row r="12" spans="1:28" x14ac:dyDescent="0.35">
      <c r="A12" t="s">
        <v>19</v>
      </c>
      <c r="B12" t="s">
        <v>287</v>
      </c>
      <c r="C12">
        <v>1010</v>
      </c>
      <c r="D12" t="s">
        <v>163</v>
      </c>
      <c r="E12" t="s">
        <v>166</v>
      </c>
      <c r="F12" t="s">
        <v>175</v>
      </c>
      <c r="G12" s="13">
        <v>64247</v>
      </c>
      <c r="H12" s="16">
        <v>42078</v>
      </c>
      <c r="I12">
        <v>1</v>
      </c>
      <c r="J12" t="s">
        <v>181</v>
      </c>
      <c r="K12" t="s">
        <v>191</v>
      </c>
      <c r="L12" s="15">
        <v>64247</v>
      </c>
      <c r="M12" s="16">
        <v>42078</v>
      </c>
      <c r="N12">
        <v>1</v>
      </c>
      <c r="O12">
        <v>1</v>
      </c>
      <c r="P12" t="s">
        <v>181</v>
      </c>
      <c r="Q12" s="27">
        <v>45990</v>
      </c>
      <c r="R12" s="28">
        <v>45990.548522916666</v>
      </c>
      <c r="S12" s="26">
        <v>2015</v>
      </c>
      <c r="T12" s="26" t="s">
        <v>309</v>
      </c>
      <c r="U12" s="26"/>
      <c r="V12">
        <f>ROUND(VALUE(Table1_2[[#This Row],[Salary2]]),0)</f>
        <v>64247</v>
      </c>
      <c r="W12">
        <f>VALUE(Table1_2[[#This Row],[Performance Rating22]])</f>
        <v>1</v>
      </c>
      <c r="Y12" s="18" t="s">
        <v>299</v>
      </c>
      <c r="Z12" s="18">
        <v>99621</v>
      </c>
      <c r="AA12" s="18" t="s">
        <v>299</v>
      </c>
      <c r="AB12" s="18">
        <v>5</v>
      </c>
    </row>
    <row r="13" spans="1:28" x14ac:dyDescent="0.35">
      <c r="A13" t="s">
        <v>20</v>
      </c>
      <c r="B13" t="s">
        <v>287</v>
      </c>
      <c r="C13">
        <v>1011</v>
      </c>
      <c r="D13" t="s">
        <v>163</v>
      </c>
      <c r="E13" t="s">
        <v>169</v>
      </c>
      <c r="F13" t="s">
        <v>173</v>
      </c>
      <c r="G13" s="13">
        <v>91180</v>
      </c>
      <c r="H13" s="16">
        <v>42085</v>
      </c>
      <c r="I13">
        <v>5</v>
      </c>
      <c r="J13" t="s">
        <v>180</v>
      </c>
      <c r="K13" t="s">
        <v>192</v>
      </c>
      <c r="L13" s="15">
        <v>91180</v>
      </c>
      <c r="M13" s="16">
        <v>42085</v>
      </c>
      <c r="N13">
        <v>5</v>
      </c>
      <c r="O13">
        <v>5</v>
      </c>
      <c r="P13" t="s">
        <v>180</v>
      </c>
      <c r="Q13" s="27">
        <v>45990</v>
      </c>
      <c r="R13" s="28">
        <v>45990.548522916666</v>
      </c>
      <c r="S13" s="26">
        <v>2015</v>
      </c>
      <c r="T13" s="26" t="s">
        <v>309</v>
      </c>
      <c r="U13" s="26"/>
      <c r="V13">
        <f>ROUND(VALUE(Table1_2[[#This Row],[Salary2]]),0)</f>
        <v>91180</v>
      </c>
      <c r="W13">
        <f>VALUE(Table1_2[[#This Row],[Performance Rating22]])</f>
        <v>5</v>
      </c>
      <c r="Y13" s="18" t="s">
        <v>300</v>
      </c>
      <c r="Z13" s="18">
        <v>9940240</v>
      </c>
      <c r="AA13" s="18" t="s">
        <v>300</v>
      </c>
      <c r="AB13" s="18">
        <v>434</v>
      </c>
    </row>
    <row r="14" spans="1:28" x14ac:dyDescent="0.35">
      <c r="A14" t="s">
        <v>21</v>
      </c>
      <c r="B14" t="s">
        <v>287</v>
      </c>
      <c r="C14">
        <v>1012</v>
      </c>
      <c r="D14" t="s">
        <v>165</v>
      </c>
      <c r="E14" t="s">
        <v>168</v>
      </c>
      <c r="F14" t="s">
        <v>174</v>
      </c>
      <c r="G14" s="13">
        <v>96418</v>
      </c>
      <c r="H14" s="16">
        <v>42092</v>
      </c>
      <c r="I14">
        <v>5</v>
      </c>
      <c r="J14" t="s">
        <v>180</v>
      </c>
      <c r="K14" t="s">
        <v>183</v>
      </c>
      <c r="L14" s="15">
        <v>96418</v>
      </c>
      <c r="M14" s="16">
        <v>42092</v>
      </c>
      <c r="N14">
        <v>5</v>
      </c>
      <c r="O14">
        <v>5</v>
      </c>
      <c r="P14" t="s">
        <v>180</v>
      </c>
      <c r="Q14" s="27">
        <v>45990</v>
      </c>
      <c r="R14" s="28">
        <v>45990.548522916666</v>
      </c>
      <c r="S14" s="26">
        <v>2015</v>
      </c>
      <c r="T14" s="26" t="s">
        <v>309</v>
      </c>
      <c r="U14" s="26"/>
      <c r="V14">
        <f>ROUND(VALUE(Table1_2[[#This Row],[Salary2]]),0)</f>
        <v>96418</v>
      </c>
      <c r="W14">
        <f>VALUE(Table1_2[[#This Row],[Performance Rating22]])</f>
        <v>5</v>
      </c>
      <c r="Y14" s="18" t="s">
        <v>301</v>
      </c>
      <c r="Z14" s="18">
        <v>150</v>
      </c>
      <c r="AA14" s="18" t="s">
        <v>301</v>
      </c>
      <c r="AB14" s="18">
        <v>150</v>
      </c>
    </row>
    <row r="15" spans="1:28" x14ac:dyDescent="0.35">
      <c r="A15" t="s">
        <v>22</v>
      </c>
      <c r="B15" t="s">
        <v>287</v>
      </c>
      <c r="C15">
        <v>1013</v>
      </c>
      <c r="D15" t="s">
        <v>163</v>
      </c>
      <c r="E15" t="s">
        <v>170</v>
      </c>
      <c r="F15" t="s">
        <v>174</v>
      </c>
      <c r="G15" s="13">
        <v>62158</v>
      </c>
      <c r="H15" s="16">
        <v>42099</v>
      </c>
      <c r="I15">
        <v>4</v>
      </c>
      <c r="K15" t="s">
        <v>193</v>
      </c>
      <c r="L15" s="15">
        <v>62158</v>
      </c>
      <c r="M15" s="16">
        <v>42099</v>
      </c>
      <c r="N15">
        <v>4</v>
      </c>
      <c r="O15">
        <v>4</v>
      </c>
      <c r="P15" t="s">
        <v>180</v>
      </c>
      <c r="Q15" s="27">
        <v>45990</v>
      </c>
      <c r="R15" s="28">
        <v>45990.548522916666</v>
      </c>
      <c r="S15" s="26">
        <v>2015</v>
      </c>
      <c r="T15" s="26" t="s">
        <v>312</v>
      </c>
      <c r="U15" s="26"/>
      <c r="V15">
        <f>ROUND(VALUE(Table1_2[[#This Row],[Salary2]]),0)</f>
        <v>62158</v>
      </c>
      <c r="W15">
        <f>VALUE(Table1_2[[#This Row],[Performance Rating22]])</f>
        <v>4</v>
      </c>
    </row>
    <row r="16" spans="1:28" x14ac:dyDescent="0.35">
      <c r="A16" t="s">
        <v>23</v>
      </c>
      <c r="B16" t="s">
        <v>287</v>
      </c>
      <c r="C16">
        <v>1014</v>
      </c>
      <c r="D16" t="s">
        <v>162</v>
      </c>
      <c r="E16" t="s">
        <v>167</v>
      </c>
      <c r="F16" t="s">
        <v>174</v>
      </c>
      <c r="G16" s="13">
        <v>59894</v>
      </c>
      <c r="H16" s="16">
        <v>42106</v>
      </c>
      <c r="I16">
        <v>2</v>
      </c>
      <c r="J16" t="s">
        <v>180</v>
      </c>
      <c r="K16" t="s">
        <v>194</v>
      </c>
      <c r="L16" s="15">
        <v>59894</v>
      </c>
      <c r="M16" s="16">
        <v>42106</v>
      </c>
      <c r="N16">
        <v>2</v>
      </c>
      <c r="O16">
        <v>2</v>
      </c>
      <c r="P16" t="s">
        <v>180</v>
      </c>
      <c r="Q16" s="27">
        <v>45990</v>
      </c>
      <c r="R16" s="28">
        <v>45990.548522916666</v>
      </c>
      <c r="S16" s="26">
        <v>2015</v>
      </c>
      <c r="T16" s="26" t="s">
        <v>312</v>
      </c>
      <c r="U16" s="26"/>
      <c r="V16">
        <f>ROUND(VALUE(Table1_2[[#This Row],[Salary2]]),0)</f>
        <v>59894</v>
      </c>
      <c r="W16">
        <f>VALUE(Table1_2[[#This Row],[Performance Rating22]])</f>
        <v>2</v>
      </c>
    </row>
    <row r="17" spans="1:23" x14ac:dyDescent="0.35">
      <c r="A17" t="s">
        <v>24</v>
      </c>
      <c r="B17" t="s">
        <v>287</v>
      </c>
      <c r="C17">
        <v>1015</v>
      </c>
      <c r="D17" t="s">
        <v>178</v>
      </c>
      <c r="E17" t="s">
        <v>169</v>
      </c>
      <c r="F17" t="s">
        <v>174</v>
      </c>
      <c r="G17" s="13">
        <v>92443</v>
      </c>
      <c r="H17" s="16">
        <v>42113</v>
      </c>
      <c r="I17">
        <v>3</v>
      </c>
      <c r="J17" t="s">
        <v>179</v>
      </c>
      <c r="K17" t="s">
        <v>195</v>
      </c>
      <c r="L17" s="15">
        <v>92443</v>
      </c>
      <c r="M17" s="16">
        <v>42113</v>
      </c>
      <c r="N17">
        <v>3</v>
      </c>
      <c r="O17">
        <v>3</v>
      </c>
      <c r="P17" t="s">
        <v>179</v>
      </c>
      <c r="Q17" s="27">
        <v>45990</v>
      </c>
      <c r="R17" s="28">
        <v>45990.548522916666</v>
      </c>
      <c r="S17" s="26">
        <v>2015</v>
      </c>
      <c r="T17" s="26" t="s">
        <v>312</v>
      </c>
      <c r="U17" s="26"/>
      <c r="V17">
        <f>ROUND(VALUE(Table1_2[[#This Row],[Salary2]]),0)</f>
        <v>92443</v>
      </c>
      <c r="W17">
        <f>VALUE(Table1_2[[#This Row],[Performance Rating22]])</f>
        <v>3</v>
      </c>
    </row>
    <row r="18" spans="1:23" x14ac:dyDescent="0.35">
      <c r="A18" t="s">
        <v>25</v>
      </c>
      <c r="B18" t="s">
        <v>287</v>
      </c>
      <c r="C18">
        <v>1016</v>
      </c>
      <c r="D18" t="s">
        <v>165</v>
      </c>
      <c r="E18" t="s">
        <v>170</v>
      </c>
      <c r="F18" t="s">
        <v>172</v>
      </c>
      <c r="G18" s="13">
        <v>90271</v>
      </c>
      <c r="H18" s="16">
        <v>42120</v>
      </c>
      <c r="K18" t="s">
        <v>196</v>
      </c>
      <c r="L18" s="15">
        <v>90271</v>
      </c>
      <c r="M18" s="16">
        <v>42120</v>
      </c>
      <c r="N18">
        <v>3.1086956521739131</v>
      </c>
      <c r="O18">
        <v>3</v>
      </c>
      <c r="P18" t="s">
        <v>180</v>
      </c>
      <c r="Q18" s="27">
        <v>45990</v>
      </c>
      <c r="R18" s="28">
        <v>45990.548522916666</v>
      </c>
      <c r="S18" s="26">
        <v>2015</v>
      </c>
      <c r="T18" s="26" t="s">
        <v>312</v>
      </c>
      <c r="U18" s="26"/>
      <c r="V18">
        <f>ROUND(VALUE(Table1_2[[#This Row],[Salary2]]),0)</f>
        <v>90271</v>
      </c>
      <c r="W18">
        <f>VALUE(Table1_2[[#This Row],[Performance Rating22]])</f>
        <v>3</v>
      </c>
    </row>
    <row r="19" spans="1:23" x14ac:dyDescent="0.35">
      <c r="A19" t="s">
        <v>26</v>
      </c>
      <c r="B19" t="s">
        <v>287</v>
      </c>
      <c r="C19">
        <v>1017</v>
      </c>
      <c r="D19" t="s">
        <v>162</v>
      </c>
      <c r="E19" t="s">
        <v>166</v>
      </c>
      <c r="F19" t="s">
        <v>176</v>
      </c>
      <c r="G19" s="13">
        <v>41341</v>
      </c>
      <c r="H19" s="16">
        <v>42127</v>
      </c>
      <c r="I19">
        <v>1</v>
      </c>
      <c r="J19" t="s">
        <v>179</v>
      </c>
      <c r="K19" t="s">
        <v>197</v>
      </c>
      <c r="L19" s="15">
        <v>41341</v>
      </c>
      <c r="M19" s="16">
        <v>42127</v>
      </c>
      <c r="N19">
        <v>1</v>
      </c>
      <c r="O19">
        <v>1</v>
      </c>
      <c r="P19" t="s">
        <v>179</v>
      </c>
      <c r="Q19" s="27">
        <v>45990</v>
      </c>
      <c r="R19" s="28">
        <v>45990.548522916666</v>
      </c>
      <c r="S19" s="26">
        <v>2015</v>
      </c>
      <c r="T19" s="26" t="s">
        <v>313</v>
      </c>
      <c r="U19" s="26"/>
      <c r="V19">
        <f>ROUND(VALUE(Table1_2[[#This Row],[Salary2]]),0)</f>
        <v>41341</v>
      </c>
      <c r="W19">
        <f>VALUE(Table1_2[[#This Row],[Performance Rating22]])</f>
        <v>1</v>
      </c>
    </row>
    <row r="20" spans="1:23" x14ac:dyDescent="0.35">
      <c r="A20" t="s">
        <v>27</v>
      </c>
      <c r="B20" t="s">
        <v>287</v>
      </c>
      <c r="C20">
        <v>1018</v>
      </c>
      <c r="D20" t="s">
        <v>160</v>
      </c>
      <c r="E20" t="s">
        <v>166</v>
      </c>
      <c r="F20" t="s">
        <v>175</v>
      </c>
      <c r="G20" s="13">
        <v>73602</v>
      </c>
      <c r="H20" s="16">
        <v>42134</v>
      </c>
      <c r="K20" t="s">
        <v>198</v>
      </c>
      <c r="L20" s="15">
        <v>73602</v>
      </c>
      <c r="M20" s="16">
        <v>42134</v>
      </c>
      <c r="N20">
        <v>2.5789473684210527</v>
      </c>
      <c r="O20">
        <v>3</v>
      </c>
      <c r="P20" t="s">
        <v>180</v>
      </c>
      <c r="Q20" s="27">
        <v>45990</v>
      </c>
      <c r="R20" s="28">
        <v>45990.548522916666</v>
      </c>
      <c r="S20" s="26">
        <v>2015</v>
      </c>
      <c r="T20" s="26" t="s">
        <v>313</v>
      </c>
      <c r="U20" s="26"/>
      <c r="V20">
        <f>ROUND(VALUE(Table1_2[[#This Row],[Salary2]]),0)</f>
        <v>73602</v>
      </c>
      <c r="W20">
        <f>VALUE(Table1_2[[#This Row],[Performance Rating22]])</f>
        <v>3</v>
      </c>
    </row>
    <row r="21" spans="1:23" x14ac:dyDescent="0.35">
      <c r="A21" t="s">
        <v>28</v>
      </c>
      <c r="B21" t="s">
        <v>287</v>
      </c>
      <c r="C21">
        <v>1019</v>
      </c>
      <c r="D21" t="s">
        <v>159</v>
      </c>
      <c r="E21" t="s">
        <v>170</v>
      </c>
      <c r="F21" t="s">
        <v>174</v>
      </c>
      <c r="G21" s="13">
        <v>67531</v>
      </c>
      <c r="H21" s="16">
        <v>42141</v>
      </c>
      <c r="I21">
        <v>5</v>
      </c>
      <c r="J21" t="s">
        <v>181</v>
      </c>
      <c r="K21" t="s">
        <v>199</v>
      </c>
      <c r="L21" s="15">
        <v>67531</v>
      </c>
      <c r="M21" s="16">
        <v>42141</v>
      </c>
      <c r="N21">
        <v>5</v>
      </c>
      <c r="O21">
        <v>5</v>
      </c>
      <c r="P21" t="s">
        <v>181</v>
      </c>
      <c r="Q21" s="27">
        <v>45990</v>
      </c>
      <c r="R21" s="28">
        <v>45990.548522916666</v>
      </c>
      <c r="S21" s="26">
        <v>2015</v>
      </c>
      <c r="T21" s="26" t="s">
        <v>313</v>
      </c>
      <c r="U21" s="26"/>
      <c r="V21">
        <f>ROUND(VALUE(Table1_2[[#This Row],[Salary2]]),0)</f>
        <v>67531</v>
      </c>
      <c r="W21">
        <f>VALUE(Table1_2[[#This Row],[Performance Rating22]])</f>
        <v>5</v>
      </c>
    </row>
    <row r="22" spans="1:23" x14ac:dyDescent="0.35">
      <c r="A22" t="s">
        <v>29</v>
      </c>
      <c r="B22" t="s">
        <v>287</v>
      </c>
      <c r="C22">
        <v>1020</v>
      </c>
      <c r="D22" t="s">
        <v>162</v>
      </c>
      <c r="E22" t="s">
        <v>167</v>
      </c>
      <c r="F22" t="s">
        <v>173</v>
      </c>
      <c r="G22" s="13" t="s">
        <v>177</v>
      </c>
      <c r="H22" s="16">
        <v>42148</v>
      </c>
      <c r="I22">
        <v>2</v>
      </c>
      <c r="J22" t="s">
        <v>179</v>
      </c>
      <c r="K22" t="s">
        <v>200</v>
      </c>
      <c r="L22" s="15">
        <v>67834.565217391311</v>
      </c>
      <c r="M22" s="16">
        <v>42148</v>
      </c>
      <c r="N22">
        <v>2</v>
      </c>
      <c r="O22">
        <v>2</v>
      </c>
      <c r="P22" t="s">
        <v>179</v>
      </c>
      <c r="Q22" s="27">
        <v>45990</v>
      </c>
      <c r="R22" s="28">
        <v>45990.548522916666</v>
      </c>
      <c r="S22" s="26">
        <v>2015</v>
      </c>
      <c r="T22" s="26" t="s">
        <v>313</v>
      </c>
      <c r="U22" s="26"/>
      <c r="V22">
        <f>ROUND(VALUE(Table1_2[[#This Row],[Salary2]]),0)</f>
        <v>67835</v>
      </c>
      <c r="W22">
        <f>VALUE(Table1_2[[#This Row],[Performance Rating22]])</f>
        <v>2</v>
      </c>
    </row>
    <row r="23" spans="1:23" x14ac:dyDescent="0.35">
      <c r="A23" t="s">
        <v>30</v>
      </c>
      <c r="B23" t="s">
        <v>287</v>
      </c>
      <c r="C23">
        <v>1021</v>
      </c>
      <c r="D23" t="s">
        <v>162</v>
      </c>
      <c r="E23" t="s">
        <v>167</v>
      </c>
      <c r="F23" t="s">
        <v>174</v>
      </c>
      <c r="G23" s="13">
        <v>98922</v>
      </c>
      <c r="H23" s="16">
        <v>42155</v>
      </c>
      <c r="I23">
        <v>4</v>
      </c>
      <c r="K23" t="s">
        <v>201</v>
      </c>
      <c r="L23" s="15">
        <v>98922</v>
      </c>
      <c r="M23" s="16">
        <v>42155</v>
      </c>
      <c r="N23">
        <v>4</v>
      </c>
      <c r="O23">
        <v>4</v>
      </c>
      <c r="P23" t="s">
        <v>180</v>
      </c>
      <c r="Q23" s="27">
        <v>45990</v>
      </c>
      <c r="R23" s="28">
        <v>45990.548522916666</v>
      </c>
      <c r="S23" s="26">
        <v>2015</v>
      </c>
      <c r="T23" s="26" t="s">
        <v>313</v>
      </c>
      <c r="U23" s="26"/>
      <c r="V23">
        <f>ROUND(VALUE(Table1_2[[#This Row],[Salary2]]),0)</f>
        <v>98922</v>
      </c>
      <c r="W23">
        <f>VALUE(Table1_2[[#This Row],[Performance Rating22]])</f>
        <v>4</v>
      </c>
    </row>
    <row r="24" spans="1:23" x14ac:dyDescent="0.35">
      <c r="A24" t="s">
        <v>31</v>
      </c>
      <c r="B24" t="s">
        <v>287</v>
      </c>
      <c r="C24">
        <v>1022</v>
      </c>
      <c r="D24" t="s">
        <v>159</v>
      </c>
      <c r="E24" t="s">
        <v>166</v>
      </c>
      <c r="F24" t="s">
        <v>174</v>
      </c>
      <c r="G24" s="13">
        <v>38333</v>
      </c>
      <c r="H24" s="16">
        <v>42162</v>
      </c>
      <c r="I24">
        <v>5</v>
      </c>
      <c r="K24" t="s">
        <v>202</v>
      </c>
      <c r="L24" s="15">
        <v>38333</v>
      </c>
      <c r="M24" s="16">
        <v>42162</v>
      </c>
      <c r="N24">
        <v>5</v>
      </c>
      <c r="O24">
        <v>5</v>
      </c>
      <c r="P24" t="s">
        <v>180</v>
      </c>
      <c r="Q24" s="27">
        <v>45990</v>
      </c>
      <c r="R24" s="28">
        <v>45990.548522916666</v>
      </c>
      <c r="S24" s="26">
        <v>2015</v>
      </c>
      <c r="T24" s="26" t="s">
        <v>314</v>
      </c>
      <c r="U24" s="26"/>
      <c r="V24">
        <f>ROUND(VALUE(Table1_2[[#This Row],[Salary2]]),0)</f>
        <v>38333</v>
      </c>
      <c r="W24">
        <f>VALUE(Table1_2[[#This Row],[Performance Rating22]])</f>
        <v>5</v>
      </c>
    </row>
    <row r="25" spans="1:23" x14ac:dyDescent="0.35">
      <c r="A25" t="s">
        <v>32</v>
      </c>
      <c r="B25" t="s">
        <v>287</v>
      </c>
      <c r="C25">
        <v>1023</v>
      </c>
      <c r="D25" t="s">
        <v>160</v>
      </c>
      <c r="E25" t="s">
        <v>170</v>
      </c>
      <c r="F25" t="s">
        <v>175</v>
      </c>
      <c r="G25" s="13">
        <v>36515</v>
      </c>
      <c r="H25" s="16">
        <v>42169</v>
      </c>
      <c r="I25">
        <v>3</v>
      </c>
      <c r="J25" t="s">
        <v>180</v>
      </c>
      <c r="K25" t="s">
        <v>203</v>
      </c>
      <c r="L25" s="15">
        <v>36515</v>
      </c>
      <c r="M25" s="16">
        <v>42169</v>
      </c>
      <c r="N25">
        <v>3</v>
      </c>
      <c r="O25">
        <v>3</v>
      </c>
      <c r="P25" t="s">
        <v>180</v>
      </c>
      <c r="Q25" s="27">
        <v>45990</v>
      </c>
      <c r="R25" s="28">
        <v>45990.548522916666</v>
      </c>
      <c r="S25" s="26">
        <v>2015</v>
      </c>
      <c r="T25" s="26" t="s">
        <v>314</v>
      </c>
      <c r="U25" s="26"/>
      <c r="V25">
        <f>ROUND(VALUE(Table1_2[[#This Row],[Salary2]]),0)</f>
        <v>36515</v>
      </c>
      <c r="W25">
        <f>VALUE(Table1_2[[#This Row],[Performance Rating22]])</f>
        <v>3</v>
      </c>
    </row>
    <row r="26" spans="1:23" x14ac:dyDescent="0.35">
      <c r="A26" t="s">
        <v>33</v>
      </c>
      <c r="B26" t="s">
        <v>287</v>
      </c>
      <c r="C26">
        <v>1024</v>
      </c>
      <c r="D26" t="s">
        <v>163</v>
      </c>
      <c r="E26" t="s">
        <v>166</v>
      </c>
      <c r="F26" t="s">
        <v>174</v>
      </c>
      <c r="G26" s="13">
        <v>91005</v>
      </c>
      <c r="H26" s="16">
        <v>42176</v>
      </c>
      <c r="I26">
        <v>1</v>
      </c>
      <c r="J26" t="s">
        <v>179</v>
      </c>
      <c r="K26" t="s">
        <v>204</v>
      </c>
      <c r="L26" s="15">
        <v>91005</v>
      </c>
      <c r="M26" s="16">
        <v>42176</v>
      </c>
      <c r="N26">
        <v>1</v>
      </c>
      <c r="O26">
        <v>1</v>
      </c>
      <c r="P26" t="s">
        <v>179</v>
      </c>
      <c r="Q26" s="27">
        <v>45990</v>
      </c>
      <c r="R26" s="28">
        <v>45990.548522916666</v>
      </c>
      <c r="S26" s="26">
        <v>2015</v>
      </c>
      <c r="T26" s="26" t="s">
        <v>314</v>
      </c>
      <c r="U26" s="26"/>
      <c r="V26">
        <f>ROUND(VALUE(Table1_2[[#This Row],[Salary2]]),0)</f>
        <v>91005</v>
      </c>
      <c r="W26">
        <f>VALUE(Table1_2[[#This Row],[Performance Rating22]])</f>
        <v>1</v>
      </c>
    </row>
    <row r="27" spans="1:23" x14ac:dyDescent="0.35">
      <c r="A27" t="s">
        <v>34</v>
      </c>
      <c r="B27" t="s">
        <v>287</v>
      </c>
      <c r="C27">
        <v>1025</v>
      </c>
      <c r="D27" t="s">
        <v>164</v>
      </c>
      <c r="E27" t="s">
        <v>170</v>
      </c>
      <c r="F27" t="s">
        <v>174</v>
      </c>
      <c r="G27" s="13">
        <v>52272</v>
      </c>
      <c r="H27" s="16">
        <v>42183</v>
      </c>
      <c r="I27">
        <v>3</v>
      </c>
      <c r="K27" t="s">
        <v>205</v>
      </c>
      <c r="L27" s="15">
        <v>52272</v>
      </c>
      <c r="M27" s="16">
        <v>42183</v>
      </c>
      <c r="N27">
        <v>3</v>
      </c>
      <c r="O27">
        <v>3</v>
      </c>
      <c r="P27" t="s">
        <v>180</v>
      </c>
      <c r="Q27" s="27">
        <v>45990</v>
      </c>
      <c r="R27" s="28">
        <v>45990.548522916666</v>
      </c>
      <c r="S27" s="26">
        <v>2015</v>
      </c>
      <c r="T27" s="26" t="s">
        <v>314</v>
      </c>
      <c r="U27" s="26"/>
      <c r="V27">
        <f>ROUND(VALUE(Table1_2[[#This Row],[Salary2]]),0)</f>
        <v>52272</v>
      </c>
      <c r="W27">
        <f>VALUE(Table1_2[[#This Row],[Performance Rating22]])</f>
        <v>3</v>
      </c>
    </row>
    <row r="28" spans="1:23" x14ac:dyDescent="0.35">
      <c r="A28" t="s">
        <v>35</v>
      </c>
      <c r="B28" t="s">
        <v>287</v>
      </c>
      <c r="C28">
        <v>1026</v>
      </c>
      <c r="D28" t="s">
        <v>159</v>
      </c>
      <c r="E28" t="s">
        <v>168</v>
      </c>
      <c r="F28" t="s">
        <v>172</v>
      </c>
      <c r="G28" s="13">
        <v>76518</v>
      </c>
      <c r="H28" s="16">
        <v>42190</v>
      </c>
      <c r="I28">
        <v>2</v>
      </c>
      <c r="J28" t="s">
        <v>181</v>
      </c>
      <c r="K28" t="s">
        <v>206</v>
      </c>
      <c r="L28" s="15">
        <v>76518</v>
      </c>
      <c r="M28" s="16">
        <v>42190</v>
      </c>
      <c r="N28">
        <v>2</v>
      </c>
      <c r="O28">
        <v>2</v>
      </c>
      <c r="P28" t="s">
        <v>181</v>
      </c>
      <c r="Q28" s="27">
        <v>45990</v>
      </c>
      <c r="R28" s="28">
        <v>45990.548522916666</v>
      </c>
      <c r="S28" s="26">
        <v>2015</v>
      </c>
      <c r="T28" s="26" t="s">
        <v>315</v>
      </c>
      <c r="U28" s="26"/>
      <c r="V28">
        <f>ROUND(VALUE(Table1_2[[#This Row],[Salary2]]),0)</f>
        <v>76518</v>
      </c>
      <c r="W28">
        <f>VALUE(Table1_2[[#This Row],[Performance Rating22]])</f>
        <v>2</v>
      </c>
    </row>
    <row r="29" spans="1:23" x14ac:dyDescent="0.35">
      <c r="A29" t="s">
        <v>36</v>
      </c>
      <c r="B29" t="s">
        <v>287</v>
      </c>
      <c r="C29">
        <v>1027</v>
      </c>
      <c r="D29" t="s">
        <v>160</v>
      </c>
      <c r="E29" t="s">
        <v>169</v>
      </c>
      <c r="F29" t="s">
        <v>175</v>
      </c>
      <c r="G29" s="13">
        <v>41448</v>
      </c>
      <c r="H29" s="16">
        <v>42197</v>
      </c>
      <c r="I29">
        <v>3</v>
      </c>
      <c r="J29" t="s">
        <v>179</v>
      </c>
      <c r="K29" t="s">
        <v>207</v>
      </c>
      <c r="L29" s="15">
        <v>41448</v>
      </c>
      <c r="M29" s="16">
        <v>42197</v>
      </c>
      <c r="N29">
        <v>3</v>
      </c>
      <c r="O29">
        <v>3</v>
      </c>
      <c r="P29" t="s">
        <v>179</v>
      </c>
      <c r="Q29" s="27">
        <v>45990</v>
      </c>
      <c r="R29" s="28">
        <v>45990.548522916666</v>
      </c>
      <c r="S29" s="26">
        <v>2015</v>
      </c>
      <c r="T29" s="26" t="s">
        <v>315</v>
      </c>
      <c r="U29" s="26"/>
      <c r="V29">
        <f>ROUND(VALUE(Table1_2[[#This Row],[Salary2]]),0)</f>
        <v>41448</v>
      </c>
      <c r="W29">
        <f>VALUE(Table1_2[[#This Row],[Performance Rating22]])</f>
        <v>3</v>
      </c>
    </row>
    <row r="30" spans="1:23" x14ac:dyDescent="0.35">
      <c r="A30" t="s">
        <v>37</v>
      </c>
      <c r="B30" t="s">
        <v>287</v>
      </c>
      <c r="C30">
        <v>1028</v>
      </c>
      <c r="D30" t="s">
        <v>161</v>
      </c>
      <c r="E30" t="s">
        <v>167</v>
      </c>
      <c r="F30" t="s">
        <v>175</v>
      </c>
      <c r="G30" s="13">
        <v>49282</v>
      </c>
      <c r="H30" s="16">
        <v>42204</v>
      </c>
      <c r="I30">
        <v>2</v>
      </c>
      <c r="J30" t="s">
        <v>181</v>
      </c>
      <c r="K30" t="s">
        <v>208</v>
      </c>
      <c r="L30" s="15">
        <v>49282</v>
      </c>
      <c r="M30" s="16">
        <v>42204</v>
      </c>
      <c r="N30">
        <v>2</v>
      </c>
      <c r="O30">
        <v>2</v>
      </c>
      <c r="P30" t="s">
        <v>181</v>
      </c>
      <c r="Q30" s="27">
        <v>45990</v>
      </c>
      <c r="R30" s="28">
        <v>45990.548522916666</v>
      </c>
      <c r="S30" s="26">
        <v>2015</v>
      </c>
      <c r="T30" s="26" t="s">
        <v>315</v>
      </c>
      <c r="U30" s="26"/>
      <c r="V30">
        <f>ROUND(VALUE(Table1_2[[#This Row],[Salary2]]),0)</f>
        <v>49282</v>
      </c>
      <c r="W30">
        <f>VALUE(Table1_2[[#This Row],[Performance Rating22]])</f>
        <v>2</v>
      </c>
    </row>
    <row r="31" spans="1:23" x14ac:dyDescent="0.35">
      <c r="A31" t="s">
        <v>38</v>
      </c>
      <c r="B31" t="s">
        <v>287</v>
      </c>
      <c r="C31">
        <v>1029</v>
      </c>
      <c r="D31" t="s">
        <v>165</v>
      </c>
      <c r="E31" t="s">
        <v>170</v>
      </c>
      <c r="F31" t="s">
        <v>175</v>
      </c>
      <c r="G31" s="13">
        <v>92959</v>
      </c>
      <c r="H31" s="16">
        <v>42211</v>
      </c>
      <c r="I31">
        <v>5</v>
      </c>
      <c r="K31" t="s">
        <v>209</v>
      </c>
      <c r="L31" s="15">
        <v>92959</v>
      </c>
      <c r="M31" s="16">
        <v>42211</v>
      </c>
      <c r="N31">
        <v>5</v>
      </c>
      <c r="O31">
        <v>5</v>
      </c>
      <c r="P31" t="s">
        <v>180</v>
      </c>
      <c r="Q31" s="27">
        <v>45990</v>
      </c>
      <c r="R31" s="28">
        <v>45990.548522916666</v>
      </c>
      <c r="S31" s="26">
        <v>2015</v>
      </c>
      <c r="T31" s="26" t="s">
        <v>315</v>
      </c>
      <c r="U31" s="26"/>
      <c r="V31">
        <f>ROUND(VALUE(Table1_2[[#This Row],[Salary2]]),0)</f>
        <v>92959</v>
      </c>
      <c r="W31">
        <f>VALUE(Table1_2[[#This Row],[Performance Rating22]])</f>
        <v>5</v>
      </c>
    </row>
    <row r="32" spans="1:23" x14ac:dyDescent="0.35">
      <c r="A32" t="s">
        <v>39</v>
      </c>
      <c r="B32" t="s">
        <v>287</v>
      </c>
      <c r="C32">
        <v>1030</v>
      </c>
      <c r="D32" t="s">
        <v>178</v>
      </c>
      <c r="E32" t="s">
        <v>170</v>
      </c>
      <c r="F32" t="s">
        <v>174</v>
      </c>
      <c r="G32" s="13">
        <v>92259</v>
      </c>
      <c r="H32" s="16"/>
      <c r="I32">
        <v>1</v>
      </c>
      <c r="J32" t="s">
        <v>178</v>
      </c>
      <c r="K32" t="s">
        <v>210</v>
      </c>
      <c r="L32" s="15">
        <v>92259</v>
      </c>
      <c r="M32" s="16">
        <v>42590</v>
      </c>
      <c r="N32">
        <v>1</v>
      </c>
      <c r="O32">
        <v>1</v>
      </c>
      <c r="P32" t="s">
        <v>178</v>
      </c>
      <c r="Q32" s="27">
        <v>45990</v>
      </c>
      <c r="R32" s="28">
        <v>45990.548522916666</v>
      </c>
      <c r="S32" s="26">
        <v>2016</v>
      </c>
      <c r="T32" s="26" t="s">
        <v>316</v>
      </c>
      <c r="U32" s="26"/>
      <c r="V32">
        <f>ROUND(VALUE(Table1_2[[#This Row],[Salary2]]),0)</f>
        <v>92259</v>
      </c>
      <c r="W32">
        <f>VALUE(Table1_2[[#This Row],[Performance Rating22]])</f>
        <v>1</v>
      </c>
    </row>
    <row r="33" spans="1:23" x14ac:dyDescent="0.35">
      <c r="A33" t="s">
        <v>40</v>
      </c>
      <c r="B33" t="s">
        <v>287</v>
      </c>
      <c r="C33">
        <v>1031</v>
      </c>
      <c r="D33" t="s">
        <v>159</v>
      </c>
      <c r="E33" t="s">
        <v>167</v>
      </c>
      <c r="F33" t="s">
        <v>172</v>
      </c>
      <c r="G33" s="13">
        <v>92299</v>
      </c>
      <c r="H33" s="16">
        <v>42225</v>
      </c>
      <c r="I33">
        <v>3</v>
      </c>
      <c r="J33" t="s">
        <v>180</v>
      </c>
      <c r="K33" t="s">
        <v>211</v>
      </c>
      <c r="L33" s="15">
        <v>92299</v>
      </c>
      <c r="M33" s="16">
        <v>42225</v>
      </c>
      <c r="N33">
        <v>3</v>
      </c>
      <c r="O33">
        <v>3</v>
      </c>
      <c r="P33" t="s">
        <v>180</v>
      </c>
      <c r="Q33" s="27">
        <v>45990</v>
      </c>
      <c r="R33" s="28">
        <v>45990.548522916666</v>
      </c>
      <c r="S33" s="26">
        <v>2015</v>
      </c>
      <c r="T33" s="26" t="s">
        <v>316</v>
      </c>
      <c r="U33" s="26"/>
      <c r="V33">
        <f>ROUND(VALUE(Table1_2[[#This Row],[Salary2]]),0)</f>
        <v>92299</v>
      </c>
      <c r="W33">
        <f>VALUE(Table1_2[[#This Row],[Performance Rating22]])</f>
        <v>3</v>
      </c>
    </row>
    <row r="34" spans="1:23" x14ac:dyDescent="0.35">
      <c r="A34" t="s">
        <v>41</v>
      </c>
      <c r="B34" t="s">
        <v>287</v>
      </c>
      <c r="C34">
        <v>1032</v>
      </c>
      <c r="D34" t="s">
        <v>163</v>
      </c>
      <c r="E34" t="s">
        <v>167</v>
      </c>
      <c r="F34" t="s">
        <v>174</v>
      </c>
      <c r="G34" s="13">
        <v>95586</v>
      </c>
      <c r="H34" s="16">
        <v>42232</v>
      </c>
      <c r="I34">
        <v>3</v>
      </c>
      <c r="J34" t="s">
        <v>179</v>
      </c>
      <c r="K34" t="s">
        <v>212</v>
      </c>
      <c r="L34" s="15">
        <v>95586</v>
      </c>
      <c r="M34" s="16">
        <v>42232</v>
      </c>
      <c r="N34">
        <v>3</v>
      </c>
      <c r="O34">
        <v>3</v>
      </c>
      <c r="P34" t="s">
        <v>179</v>
      </c>
      <c r="Q34" s="27">
        <v>45990</v>
      </c>
      <c r="R34" s="28">
        <v>45990.548522916666</v>
      </c>
      <c r="S34" s="26">
        <v>2015</v>
      </c>
      <c r="T34" s="26" t="s">
        <v>316</v>
      </c>
      <c r="U34" s="26"/>
      <c r="V34">
        <f>ROUND(VALUE(Table1_2[[#This Row],[Salary2]]),0)</f>
        <v>95586</v>
      </c>
      <c r="W34">
        <f>VALUE(Table1_2[[#This Row],[Performance Rating22]])</f>
        <v>3</v>
      </c>
    </row>
    <row r="35" spans="1:23" x14ac:dyDescent="0.35">
      <c r="A35" t="s">
        <v>42</v>
      </c>
      <c r="B35" t="s">
        <v>287</v>
      </c>
      <c r="C35">
        <v>1033</v>
      </c>
      <c r="D35" t="s">
        <v>164</v>
      </c>
      <c r="E35" t="s">
        <v>170</v>
      </c>
      <c r="F35" t="s">
        <v>173</v>
      </c>
      <c r="G35" s="13">
        <v>95367</v>
      </c>
      <c r="H35" s="16">
        <v>42239</v>
      </c>
      <c r="J35" t="s">
        <v>180</v>
      </c>
      <c r="K35" t="s">
        <v>213</v>
      </c>
      <c r="L35" s="15">
        <v>95367</v>
      </c>
      <c r="M35" s="16">
        <v>42239</v>
      </c>
      <c r="N35">
        <v>3.1086956521739131</v>
      </c>
      <c r="O35">
        <v>3</v>
      </c>
      <c r="P35" t="s">
        <v>180</v>
      </c>
      <c r="Q35" s="27">
        <v>45990</v>
      </c>
      <c r="R35" s="28">
        <v>45990.548522916666</v>
      </c>
      <c r="S35" s="26">
        <v>2015</v>
      </c>
      <c r="T35" s="26" t="s">
        <v>316</v>
      </c>
      <c r="U35" s="26"/>
      <c r="V35">
        <f>ROUND(VALUE(Table1_2[[#This Row],[Salary2]]),0)</f>
        <v>95367</v>
      </c>
      <c r="W35">
        <f>VALUE(Table1_2[[#This Row],[Performance Rating22]])</f>
        <v>3</v>
      </c>
    </row>
    <row r="36" spans="1:23" x14ac:dyDescent="0.35">
      <c r="A36" t="s">
        <v>43</v>
      </c>
      <c r="B36" t="s">
        <v>287</v>
      </c>
      <c r="C36">
        <v>1034</v>
      </c>
      <c r="D36" t="s">
        <v>161</v>
      </c>
      <c r="E36" t="s">
        <v>168</v>
      </c>
      <c r="F36" t="s">
        <v>176</v>
      </c>
      <c r="G36" s="13">
        <v>79549</v>
      </c>
      <c r="H36" s="16">
        <v>42246</v>
      </c>
      <c r="I36">
        <v>3</v>
      </c>
      <c r="K36" t="s">
        <v>214</v>
      </c>
      <c r="L36" s="15">
        <v>79549</v>
      </c>
      <c r="M36" s="16">
        <v>42246</v>
      </c>
      <c r="N36">
        <v>3</v>
      </c>
      <c r="O36">
        <v>3</v>
      </c>
      <c r="P36" t="s">
        <v>180</v>
      </c>
      <c r="Q36" s="27">
        <v>45990</v>
      </c>
      <c r="R36" s="28">
        <v>45990.548522916666</v>
      </c>
      <c r="S36" s="26">
        <v>2015</v>
      </c>
      <c r="T36" s="26" t="s">
        <v>316</v>
      </c>
      <c r="U36" s="26"/>
      <c r="V36">
        <f>ROUND(VALUE(Table1_2[[#This Row],[Salary2]]),0)</f>
        <v>79549</v>
      </c>
      <c r="W36">
        <f>VALUE(Table1_2[[#This Row],[Performance Rating22]])</f>
        <v>3</v>
      </c>
    </row>
    <row r="37" spans="1:23" x14ac:dyDescent="0.35">
      <c r="A37" t="s">
        <v>44</v>
      </c>
      <c r="B37" t="s">
        <v>287</v>
      </c>
      <c r="C37">
        <v>1035</v>
      </c>
      <c r="D37" t="s">
        <v>160</v>
      </c>
      <c r="E37" t="s">
        <v>170</v>
      </c>
      <c r="F37" t="s">
        <v>175</v>
      </c>
      <c r="G37" s="13">
        <v>54463</v>
      </c>
      <c r="H37" s="16">
        <v>42253</v>
      </c>
      <c r="I37">
        <v>4</v>
      </c>
      <c r="J37" t="s">
        <v>180</v>
      </c>
      <c r="K37" t="s">
        <v>182</v>
      </c>
      <c r="L37" s="15">
        <v>54463</v>
      </c>
      <c r="M37" s="16">
        <v>42253</v>
      </c>
      <c r="N37">
        <v>4</v>
      </c>
      <c r="O37">
        <v>4</v>
      </c>
      <c r="P37" t="s">
        <v>180</v>
      </c>
      <c r="Q37" s="27">
        <v>45990</v>
      </c>
      <c r="R37" s="28">
        <v>45990.548522916666</v>
      </c>
      <c r="S37" s="26">
        <v>2015</v>
      </c>
      <c r="T37" s="26" t="s">
        <v>317</v>
      </c>
      <c r="U37" s="26"/>
      <c r="V37">
        <f>ROUND(VALUE(Table1_2[[#This Row],[Salary2]]),0)</f>
        <v>54463</v>
      </c>
      <c r="W37">
        <f>VALUE(Table1_2[[#This Row],[Performance Rating22]])</f>
        <v>4</v>
      </c>
    </row>
    <row r="38" spans="1:23" x14ac:dyDescent="0.35">
      <c r="A38" t="s">
        <v>45</v>
      </c>
      <c r="B38" t="s">
        <v>287</v>
      </c>
      <c r="C38">
        <v>1036</v>
      </c>
      <c r="D38" t="s">
        <v>160</v>
      </c>
      <c r="E38" t="s">
        <v>169</v>
      </c>
      <c r="F38" t="s">
        <v>173</v>
      </c>
      <c r="G38" s="13">
        <v>89781</v>
      </c>
      <c r="H38" s="16">
        <v>42260</v>
      </c>
      <c r="J38" t="s">
        <v>181</v>
      </c>
      <c r="K38" t="s">
        <v>215</v>
      </c>
      <c r="L38" s="15">
        <v>89781</v>
      </c>
      <c r="M38" s="16">
        <v>42260</v>
      </c>
      <c r="N38">
        <v>2.9444444444444446</v>
      </c>
      <c r="O38">
        <v>3</v>
      </c>
      <c r="P38" t="s">
        <v>181</v>
      </c>
      <c r="Q38" s="27">
        <v>45990</v>
      </c>
      <c r="R38" s="28">
        <v>45990.548522916666</v>
      </c>
      <c r="S38" s="26">
        <v>2015</v>
      </c>
      <c r="T38" s="26" t="s">
        <v>317</v>
      </c>
      <c r="U38" s="26"/>
      <c r="V38">
        <f>ROUND(VALUE(Table1_2[[#This Row],[Salary2]]),0)</f>
        <v>89781</v>
      </c>
      <c r="W38">
        <f>VALUE(Table1_2[[#This Row],[Performance Rating22]])</f>
        <v>3</v>
      </c>
    </row>
    <row r="39" spans="1:23" x14ac:dyDescent="0.35">
      <c r="A39" t="s">
        <v>46</v>
      </c>
      <c r="B39" t="s">
        <v>287</v>
      </c>
      <c r="C39">
        <v>1037</v>
      </c>
      <c r="D39" t="s">
        <v>160</v>
      </c>
      <c r="E39" t="s">
        <v>167</v>
      </c>
      <c r="F39" t="s">
        <v>174</v>
      </c>
      <c r="G39" s="13">
        <v>64796</v>
      </c>
      <c r="H39" s="16">
        <v>42267</v>
      </c>
      <c r="J39" t="s">
        <v>179</v>
      </c>
      <c r="K39" t="s">
        <v>216</v>
      </c>
      <c r="L39" s="15">
        <v>64796</v>
      </c>
      <c r="M39" s="16">
        <v>42267</v>
      </c>
      <c r="N39">
        <v>2.7</v>
      </c>
      <c r="O39">
        <v>3</v>
      </c>
      <c r="P39" t="s">
        <v>179</v>
      </c>
      <c r="Q39" s="27">
        <v>45990</v>
      </c>
      <c r="R39" s="28">
        <v>45990.548522916666</v>
      </c>
      <c r="S39" s="26">
        <v>2015</v>
      </c>
      <c r="T39" s="26" t="s">
        <v>317</v>
      </c>
      <c r="U39" s="26"/>
      <c r="V39">
        <f>ROUND(VALUE(Table1_2[[#This Row],[Salary2]]),0)</f>
        <v>64796</v>
      </c>
      <c r="W39">
        <f>VALUE(Table1_2[[#This Row],[Performance Rating22]])</f>
        <v>3</v>
      </c>
    </row>
    <row r="40" spans="1:23" x14ac:dyDescent="0.35">
      <c r="A40" t="s">
        <v>47</v>
      </c>
      <c r="B40" t="s">
        <v>287</v>
      </c>
      <c r="C40">
        <v>1038</v>
      </c>
      <c r="D40" t="s">
        <v>161</v>
      </c>
      <c r="E40" t="s">
        <v>170</v>
      </c>
      <c r="F40" t="s">
        <v>175</v>
      </c>
      <c r="G40" s="13">
        <v>52093</v>
      </c>
      <c r="H40" s="16">
        <v>42274</v>
      </c>
      <c r="I40">
        <v>5</v>
      </c>
      <c r="K40" t="s">
        <v>217</v>
      </c>
      <c r="L40" s="15">
        <v>52093</v>
      </c>
      <c r="M40" s="16">
        <v>42274</v>
      </c>
      <c r="N40">
        <v>5</v>
      </c>
      <c r="O40">
        <v>5</v>
      </c>
      <c r="P40" t="s">
        <v>180</v>
      </c>
      <c r="Q40" s="27">
        <v>45990</v>
      </c>
      <c r="R40" s="28">
        <v>45990.548522916666</v>
      </c>
      <c r="S40" s="26">
        <v>2015</v>
      </c>
      <c r="T40" s="26" t="s">
        <v>317</v>
      </c>
      <c r="U40" s="26"/>
      <c r="V40">
        <f>ROUND(VALUE(Table1_2[[#This Row],[Salary2]]),0)</f>
        <v>52093</v>
      </c>
      <c r="W40">
        <f>VALUE(Table1_2[[#This Row],[Performance Rating22]])</f>
        <v>5</v>
      </c>
    </row>
    <row r="41" spans="1:23" x14ac:dyDescent="0.35">
      <c r="A41" t="s">
        <v>48</v>
      </c>
      <c r="B41" t="s">
        <v>287</v>
      </c>
      <c r="C41">
        <v>1039</v>
      </c>
      <c r="D41" t="s">
        <v>164</v>
      </c>
      <c r="E41" t="s">
        <v>167</v>
      </c>
      <c r="F41" t="s">
        <v>175</v>
      </c>
      <c r="G41" s="13">
        <v>48224</v>
      </c>
      <c r="H41" s="16">
        <v>42281</v>
      </c>
      <c r="I41">
        <v>3</v>
      </c>
      <c r="K41" t="s">
        <v>218</v>
      </c>
      <c r="L41" s="15">
        <v>48224</v>
      </c>
      <c r="M41" s="16">
        <v>42281</v>
      </c>
      <c r="N41">
        <v>3</v>
      </c>
      <c r="O41">
        <v>3</v>
      </c>
      <c r="P41" t="s">
        <v>180</v>
      </c>
      <c r="Q41" s="27">
        <v>45990</v>
      </c>
      <c r="R41" s="28">
        <v>45990.548522916666</v>
      </c>
      <c r="S41" s="26">
        <v>2015</v>
      </c>
      <c r="T41" s="26" t="s">
        <v>318</v>
      </c>
      <c r="U41" s="26"/>
      <c r="V41">
        <f>ROUND(VALUE(Table1_2[[#This Row],[Salary2]]),0)</f>
        <v>48224</v>
      </c>
      <c r="W41">
        <f>VALUE(Table1_2[[#This Row],[Performance Rating22]])</f>
        <v>3</v>
      </c>
    </row>
    <row r="42" spans="1:23" x14ac:dyDescent="0.35">
      <c r="A42" t="s">
        <v>49</v>
      </c>
      <c r="B42" t="s">
        <v>287</v>
      </c>
      <c r="C42">
        <v>1040</v>
      </c>
      <c r="D42" t="s">
        <v>165</v>
      </c>
      <c r="E42" t="s">
        <v>166</v>
      </c>
      <c r="F42" t="s">
        <v>175</v>
      </c>
      <c r="G42" s="13" t="s">
        <v>177</v>
      </c>
      <c r="H42" s="16"/>
      <c r="I42">
        <v>4</v>
      </c>
      <c r="J42" t="s">
        <v>181</v>
      </c>
      <c r="K42" t="s">
        <v>219</v>
      </c>
      <c r="L42" s="15">
        <v>65604.55</v>
      </c>
      <c r="M42" s="16">
        <v>42454.25</v>
      </c>
      <c r="N42">
        <v>4</v>
      </c>
      <c r="O42">
        <v>4</v>
      </c>
      <c r="P42" t="s">
        <v>181</v>
      </c>
      <c r="Q42" s="27">
        <v>45990</v>
      </c>
      <c r="R42" s="28">
        <v>45990.548522916666</v>
      </c>
      <c r="S42" s="26">
        <v>2016</v>
      </c>
      <c r="T42" s="26" t="s">
        <v>309</v>
      </c>
      <c r="U42" s="26"/>
      <c r="V42">
        <f>ROUND(VALUE(Table1_2[[#This Row],[Salary2]]),0)</f>
        <v>65605</v>
      </c>
      <c r="W42">
        <f>VALUE(Table1_2[[#This Row],[Performance Rating22]])</f>
        <v>4</v>
      </c>
    </row>
    <row r="43" spans="1:23" x14ac:dyDescent="0.35">
      <c r="A43" t="s">
        <v>50</v>
      </c>
      <c r="B43" t="s">
        <v>287</v>
      </c>
      <c r="C43">
        <v>1041</v>
      </c>
      <c r="D43" t="s">
        <v>160</v>
      </c>
      <c r="E43" t="s">
        <v>169</v>
      </c>
      <c r="F43" t="s">
        <v>172</v>
      </c>
      <c r="G43" s="13">
        <v>33956</v>
      </c>
      <c r="H43" s="16">
        <v>42295</v>
      </c>
      <c r="K43" t="s">
        <v>220</v>
      </c>
      <c r="L43" s="15">
        <v>33956</v>
      </c>
      <c r="M43" s="16">
        <v>42295</v>
      </c>
      <c r="N43">
        <v>2.9444444444444446</v>
      </c>
      <c r="O43">
        <v>3</v>
      </c>
      <c r="P43" t="s">
        <v>180</v>
      </c>
      <c r="Q43" s="27">
        <v>45990</v>
      </c>
      <c r="R43" s="28">
        <v>45990.548522916666</v>
      </c>
      <c r="S43" s="26">
        <v>2015</v>
      </c>
      <c r="T43" s="26" t="s">
        <v>318</v>
      </c>
      <c r="U43" s="26"/>
      <c r="V43">
        <f>ROUND(VALUE(Table1_2[[#This Row],[Salary2]]),0)</f>
        <v>33956</v>
      </c>
      <c r="W43">
        <f>VALUE(Table1_2[[#This Row],[Performance Rating22]])</f>
        <v>3</v>
      </c>
    </row>
    <row r="44" spans="1:23" x14ac:dyDescent="0.35">
      <c r="A44" t="s">
        <v>51</v>
      </c>
      <c r="B44" t="s">
        <v>287</v>
      </c>
      <c r="C44">
        <v>1042</v>
      </c>
      <c r="D44" t="s">
        <v>165</v>
      </c>
      <c r="E44" t="s">
        <v>170</v>
      </c>
      <c r="F44" t="s">
        <v>176</v>
      </c>
      <c r="G44" s="13">
        <v>64913</v>
      </c>
      <c r="H44" s="16">
        <v>42302</v>
      </c>
      <c r="I44">
        <v>1</v>
      </c>
      <c r="J44" t="s">
        <v>181</v>
      </c>
      <c r="K44" t="s">
        <v>221</v>
      </c>
      <c r="L44" s="15">
        <v>64913</v>
      </c>
      <c r="M44" s="16">
        <v>42302</v>
      </c>
      <c r="N44">
        <v>1</v>
      </c>
      <c r="O44">
        <v>1</v>
      </c>
      <c r="P44" t="s">
        <v>181</v>
      </c>
      <c r="Q44" s="27">
        <v>45990</v>
      </c>
      <c r="R44" s="28">
        <v>45990.548522916666</v>
      </c>
      <c r="S44" s="26">
        <v>2015</v>
      </c>
      <c r="T44" s="26" t="s">
        <v>318</v>
      </c>
      <c r="U44" s="26"/>
      <c r="V44">
        <f>ROUND(VALUE(Table1_2[[#This Row],[Salary2]]),0)</f>
        <v>64913</v>
      </c>
      <c r="W44">
        <f>VALUE(Table1_2[[#This Row],[Performance Rating22]])</f>
        <v>1</v>
      </c>
    </row>
    <row r="45" spans="1:23" x14ac:dyDescent="0.35">
      <c r="A45" t="s">
        <v>52</v>
      </c>
      <c r="B45" t="s">
        <v>287</v>
      </c>
      <c r="C45">
        <v>1043</v>
      </c>
      <c r="D45" t="s">
        <v>160</v>
      </c>
      <c r="E45" t="s">
        <v>170</v>
      </c>
      <c r="F45" t="s">
        <v>176</v>
      </c>
      <c r="G45" s="13">
        <v>35326</v>
      </c>
      <c r="H45" s="16">
        <v>42309</v>
      </c>
      <c r="J45" t="s">
        <v>181</v>
      </c>
      <c r="K45" t="s">
        <v>222</v>
      </c>
      <c r="L45" s="15">
        <v>35326</v>
      </c>
      <c r="M45" s="16">
        <v>42309</v>
      </c>
      <c r="N45">
        <v>3.1086956521739131</v>
      </c>
      <c r="O45">
        <v>3</v>
      </c>
      <c r="P45" t="s">
        <v>181</v>
      </c>
      <c r="Q45" s="27">
        <v>45990</v>
      </c>
      <c r="R45" s="28">
        <v>45990.548522916666</v>
      </c>
      <c r="S45" s="26">
        <v>2015</v>
      </c>
      <c r="T45" s="26" t="s">
        <v>319</v>
      </c>
      <c r="U45" s="26"/>
      <c r="V45">
        <f>ROUND(VALUE(Table1_2[[#This Row],[Salary2]]),0)</f>
        <v>35326</v>
      </c>
      <c r="W45">
        <f>VALUE(Table1_2[[#This Row],[Performance Rating22]])</f>
        <v>3</v>
      </c>
    </row>
    <row r="46" spans="1:23" x14ac:dyDescent="0.35">
      <c r="A46" t="s">
        <v>53</v>
      </c>
      <c r="B46" t="s">
        <v>287</v>
      </c>
      <c r="C46">
        <v>1044</v>
      </c>
      <c r="D46" t="s">
        <v>164</v>
      </c>
      <c r="E46" t="s">
        <v>166</v>
      </c>
      <c r="F46" t="s">
        <v>174</v>
      </c>
      <c r="G46" s="13">
        <v>81610</v>
      </c>
      <c r="H46" s="16">
        <v>42316</v>
      </c>
      <c r="I46">
        <v>1</v>
      </c>
      <c r="K46" t="s">
        <v>223</v>
      </c>
      <c r="L46" s="15">
        <v>81610</v>
      </c>
      <c r="M46" s="16">
        <v>42316</v>
      </c>
      <c r="N46">
        <v>1</v>
      </c>
      <c r="O46">
        <v>1</v>
      </c>
      <c r="P46" t="s">
        <v>180</v>
      </c>
      <c r="Q46" s="27">
        <v>45990</v>
      </c>
      <c r="R46" s="28">
        <v>45990.548522916666</v>
      </c>
      <c r="S46" s="26">
        <v>2015</v>
      </c>
      <c r="T46" s="26" t="s">
        <v>319</v>
      </c>
      <c r="U46" s="26"/>
      <c r="V46">
        <f>ROUND(VALUE(Table1_2[[#This Row],[Salary2]]),0)</f>
        <v>81610</v>
      </c>
      <c r="W46">
        <f>VALUE(Table1_2[[#This Row],[Performance Rating22]])</f>
        <v>1</v>
      </c>
    </row>
    <row r="47" spans="1:23" x14ac:dyDescent="0.35">
      <c r="A47" t="s">
        <v>54</v>
      </c>
      <c r="B47" t="s">
        <v>287</v>
      </c>
      <c r="C47">
        <v>1045</v>
      </c>
      <c r="D47" t="s">
        <v>178</v>
      </c>
      <c r="E47" t="s">
        <v>167</v>
      </c>
      <c r="F47" t="s">
        <v>174</v>
      </c>
      <c r="G47" s="13">
        <v>58962</v>
      </c>
      <c r="H47" s="16">
        <v>42323</v>
      </c>
      <c r="I47">
        <v>3</v>
      </c>
      <c r="J47" t="s">
        <v>179</v>
      </c>
      <c r="K47" t="s">
        <v>183</v>
      </c>
      <c r="L47" s="15">
        <v>58962</v>
      </c>
      <c r="M47" s="16">
        <v>42323</v>
      </c>
      <c r="N47">
        <v>3</v>
      </c>
      <c r="O47">
        <v>3</v>
      </c>
      <c r="P47" t="s">
        <v>179</v>
      </c>
      <c r="Q47" s="27">
        <v>45990</v>
      </c>
      <c r="R47" s="28">
        <v>45990.548522916666</v>
      </c>
      <c r="S47" s="26">
        <v>2015</v>
      </c>
      <c r="T47" s="26" t="s">
        <v>319</v>
      </c>
      <c r="U47" s="26"/>
      <c r="V47">
        <f>ROUND(VALUE(Table1_2[[#This Row],[Salary2]]),0)</f>
        <v>58962</v>
      </c>
      <c r="W47">
        <f>VALUE(Table1_2[[#This Row],[Performance Rating22]])</f>
        <v>3</v>
      </c>
    </row>
    <row r="48" spans="1:23" x14ac:dyDescent="0.35">
      <c r="A48" t="s">
        <v>55</v>
      </c>
      <c r="B48" t="s">
        <v>287</v>
      </c>
      <c r="C48">
        <v>1046</v>
      </c>
      <c r="D48" t="s">
        <v>164</v>
      </c>
      <c r="E48" t="s">
        <v>169</v>
      </c>
      <c r="F48" t="s">
        <v>172</v>
      </c>
      <c r="G48" s="13">
        <v>92701</v>
      </c>
      <c r="H48" s="16">
        <v>42330</v>
      </c>
      <c r="I48">
        <v>3</v>
      </c>
      <c r="J48" t="s">
        <v>179</v>
      </c>
      <c r="K48" t="s">
        <v>224</v>
      </c>
      <c r="L48" s="15">
        <v>92701</v>
      </c>
      <c r="M48" s="16">
        <v>42330</v>
      </c>
      <c r="N48">
        <v>3</v>
      </c>
      <c r="O48">
        <v>3</v>
      </c>
      <c r="P48" t="s">
        <v>179</v>
      </c>
      <c r="Q48" s="27">
        <v>45990</v>
      </c>
      <c r="R48" s="28">
        <v>45990.548522916666</v>
      </c>
      <c r="S48" s="26">
        <v>2015</v>
      </c>
      <c r="T48" s="26" t="s">
        <v>319</v>
      </c>
      <c r="U48" s="26"/>
      <c r="V48">
        <f>ROUND(VALUE(Table1_2[[#This Row],[Salary2]]),0)</f>
        <v>92701</v>
      </c>
      <c r="W48">
        <f>VALUE(Table1_2[[#This Row],[Performance Rating22]])</f>
        <v>3</v>
      </c>
    </row>
    <row r="49" spans="1:23" x14ac:dyDescent="0.35">
      <c r="A49" t="s">
        <v>56</v>
      </c>
      <c r="B49" t="s">
        <v>287</v>
      </c>
      <c r="C49">
        <v>1047</v>
      </c>
      <c r="D49" t="s">
        <v>164</v>
      </c>
      <c r="E49" t="s">
        <v>167</v>
      </c>
      <c r="F49" t="s">
        <v>174</v>
      </c>
      <c r="G49" s="13">
        <v>58245</v>
      </c>
      <c r="H49" s="16">
        <v>42337</v>
      </c>
      <c r="I49">
        <v>4</v>
      </c>
      <c r="K49" t="s">
        <v>225</v>
      </c>
      <c r="L49" s="15">
        <v>58245</v>
      </c>
      <c r="M49" s="16">
        <v>42337</v>
      </c>
      <c r="N49">
        <v>4</v>
      </c>
      <c r="O49">
        <v>4</v>
      </c>
      <c r="P49" t="s">
        <v>180</v>
      </c>
      <c r="Q49" s="27">
        <v>45990</v>
      </c>
      <c r="R49" s="28">
        <v>45990.548522916666</v>
      </c>
      <c r="S49" s="26">
        <v>2015</v>
      </c>
      <c r="T49" s="26" t="s">
        <v>319</v>
      </c>
      <c r="U49" s="26"/>
      <c r="V49">
        <f>ROUND(VALUE(Table1_2[[#This Row],[Salary2]]),0)</f>
        <v>58245</v>
      </c>
      <c r="W49">
        <f>VALUE(Table1_2[[#This Row],[Performance Rating22]])</f>
        <v>4</v>
      </c>
    </row>
    <row r="50" spans="1:23" x14ac:dyDescent="0.35">
      <c r="A50" t="s">
        <v>57</v>
      </c>
      <c r="B50" t="s">
        <v>287</v>
      </c>
      <c r="C50">
        <v>1048</v>
      </c>
      <c r="D50" t="s">
        <v>161</v>
      </c>
      <c r="E50" t="s">
        <v>166</v>
      </c>
      <c r="F50" t="s">
        <v>174</v>
      </c>
      <c r="G50" s="13">
        <v>66513</v>
      </c>
      <c r="H50" s="16">
        <v>42344</v>
      </c>
      <c r="I50">
        <v>2</v>
      </c>
      <c r="J50" t="s">
        <v>179</v>
      </c>
      <c r="K50" t="s">
        <v>187</v>
      </c>
      <c r="L50" s="15">
        <v>66513</v>
      </c>
      <c r="M50" s="16">
        <v>42344</v>
      </c>
      <c r="N50">
        <v>2</v>
      </c>
      <c r="O50">
        <v>2</v>
      </c>
      <c r="P50" t="s">
        <v>179</v>
      </c>
      <c r="Q50" s="27">
        <v>45990</v>
      </c>
      <c r="R50" s="28">
        <v>45990.548522916666</v>
      </c>
      <c r="S50" s="26">
        <v>2015</v>
      </c>
      <c r="T50" s="26" t="s">
        <v>320</v>
      </c>
      <c r="U50" s="26"/>
      <c r="V50">
        <f>ROUND(VALUE(Table1_2[[#This Row],[Salary2]]),0)</f>
        <v>66513</v>
      </c>
      <c r="W50">
        <f>VALUE(Table1_2[[#This Row],[Performance Rating22]])</f>
        <v>2</v>
      </c>
    </row>
    <row r="51" spans="1:23" x14ac:dyDescent="0.35">
      <c r="A51" t="s">
        <v>58</v>
      </c>
      <c r="B51" t="s">
        <v>287</v>
      </c>
      <c r="C51">
        <v>1049</v>
      </c>
      <c r="D51" t="s">
        <v>159</v>
      </c>
      <c r="E51" t="s">
        <v>167</v>
      </c>
      <c r="F51" t="s">
        <v>172</v>
      </c>
      <c r="G51" s="13">
        <v>78720</v>
      </c>
      <c r="H51" s="16">
        <v>42351</v>
      </c>
      <c r="I51">
        <v>5</v>
      </c>
      <c r="J51" t="s">
        <v>181</v>
      </c>
      <c r="K51" t="s">
        <v>219</v>
      </c>
      <c r="L51" s="15">
        <v>78720</v>
      </c>
      <c r="M51" s="16">
        <v>42351</v>
      </c>
      <c r="N51">
        <v>5</v>
      </c>
      <c r="O51">
        <v>5</v>
      </c>
      <c r="P51" t="s">
        <v>181</v>
      </c>
      <c r="Q51" s="27">
        <v>45990</v>
      </c>
      <c r="R51" s="28">
        <v>45990.548522916666</v>
      </c>
      <c r="S51" s="26">
        <v>2015</v>
      </c>
      <c r="T51" s="26" t="s">
        <v>320</v>
      </c>
      <c r="U51" s="26"/>
      <c r="V51">
        <f>ROUND(VALUE(Table1_2[[#This Row],[Salary2]]),0)</f>
        <v>78720</v>
      </c>
      <c r="W51">
        <f>VALUE(Table1_2[[#This Row],[Performance Rating22]])</f>
        <v>5</v>
      </c>
    </row>
    <row r="52" spans="1:23" x14ac:dyDescent="0.35">
      <c r="A52" t="s">
        <v>59</v>
      </c>
      <c r="B52" t="s">
        <v>287</v>
      </c>
      <c r="C52">
        <v>1050</v>
      </c>
      <c r="D52" t="s">
        <v>164</v>
      </c>
      <c r="E52" t="s">
        <v>170</v>
      </c>
      <c r="F52" t="s">
        <v>174</v>
      </c>
      <c r="G52" s="13">
        <v>30686</v>
      </c>
      <c r="H52" s="16"/>
      <c r="I52">
        <v>2</v>
      </c>
      <c r="J52" t="s">
        <v>181</v>
      </c>
      <c r="K52" t="s">
        <v>226</v>
      </c>
      <c r="L52" s="15">
        <v>30686</v>
      </c>
      <c r="M52" s="16">
        <v>42590</v>
      </c>
      <c r="N52">
        <v>2</v>
      </c>
      <c r="O52">
        <v>2</v>
      </c>
      <c r="P52" t="s">
        <v>181</v>
      </c>
      <c r="Q52" s="27">
        <v>45990</v>
      </c>
      <c r="R52" s="28">
        <v>45990.548522916666</v>
      </c>
      <c r="S52" s="26">
        <v>2016</v>
      </c>
      <c r="T52" s="26" t="s">
        <v>316</v>
      </c>
      <c r="U52" s="26"/>
      <c r="V52">
        <f>ROUND(VALUE(Table1_2[[#This Row],[Salary2]]),0)</f>
        <v>30686</v>
      </c>
      <c r="W52">
        <f>VALUE(Table1_2[[#This Row],[Performance Rating22]])</f>
        <v>2</v>
      </c>
    </row>
    <row r="53" spans="1:23" x14ac:dyDescent="0.35">
      <c r="A53" t="s">
        <v>60</v>
      </c>
      <c r="B53" t="s">
        <v>287</v>
      </c>
      <c r="C53">
        <v>1051</v>
      </c>
      <c r="D53" t="s">
        <v>163</v>
      </c>
      <c r="E53" t="s">
        <v>168</v>
      </c>
      <c r="F53" t="s">
        <v>174</v>
      </c>
      <c r="G53" s="13">
        <v>39423</v>
      </c>
      <c r="H53" s="16">
        <v>42365</v>
      </c>
      <c r="I53">
        <v>5</v>
      </c>
      <c r="K53" t="s">
        <v>227</v>
      </c>
      <c r="L53" s="15">
        <v>39423</v>
      </c>
      <c r="M53" s="16">
        <v>42365</v>
      </c>
      <c r="N53">
        <v>5</v>
      </c>
      <c r="O53">
        <v>5</v>
      </c>
      <c r="P53" t="s">
        <v>180</v>
      </c>
      <c r="Q53" s="27">
        <v>45990</v>
      </c>
      <c r="R53" s="28">
        <v>45990.548522916666</v>
      </c>
      <c r="S53" s="26">
        <v>2015</v>
      </c>
      <c r="T53" s="26" t="s">
        <v>320</v>
      </c>
      <c r="U53" s="26"/>
      <c r="V53">
        <f>ROUND(VALUE(Table1_2[[#This Row],[Salary2]]),0)</f>
        <v>39423</v>
      </c>
      <c r="W53">
        <f>VALUE(Table1_2[[#This Row],[Performance Rating22]])</f>
        <v>5</v>
      </c>
    </row>
    <row r="54" spans="1:23" x14ac:dyDescent="0.35">
      <c r="A54" t="s">
        <v>61</v>
      </c>
      <c r="B54" t="s">
        <v>287</v>
      </c>
      <c r="C54">
        <v>1052</v>
      </c>
      <c r="D54" t="s">
        <v>159</v>
      </c>
      <c r="E54" t="s">
        <v>170</v>
      </c>
      <c r="F54" t="s">
        <v>174</v>
      </c>
      <c r="G54" s="13">
        <v>30280</v>
      </c>
      <c r="H54" s="16">
        <v>42372</v>
      </c>
      <c r="I54">
        <v>1</v>
      </c>
      <c r="K54" t="s">
        <v>228</v>
      </c>
      <c r="L54" s="15">
        <v>30280</v>
      </c>
      <c r="M54" s="16">
        <v>42372</v>
      </c>
      <c r="N54">
        <v>1</v>
      </c>
      <c r="O54">
        <v>1</v>
      </c>
      <c r="P54" t="s">
        <v>180</v>
      </c>
      <c r="Q54" s="27">
        <v>45990</v>
      </c>
      <c r="R54" s="28">
        <v>45990.548522916666</v>
      </c>
      <c r="S54" s="26">
        <v>2016</v>
      </c>
      <c r="T54" s="26" t="s">
        <v>310</v>
      </c>
      <c r="U54" s="26"/>
      <c r="V54">
        <f>ROUND(VALUE(Table1_2[[#This Row],[Salary2]]),0)</f>
        <v>30280</v>
      </c>
      <c r="W54">
        <f>VALUE(Table1_2[[#This Row],[Performance Rating22]])</f>
        <v>1</v>
      </c>
    </row>
    <row r="55" spans="1:23" x14ac:dyDescent="0.35">
      <c r="A55" t="s">
        <v>62</v>
      </c>
      <c r="B55" t="s">
        <v>287</v>
      </c>
      <c r="C55">
        <v>1053</v>
      </c>
      <c r="D55" t="s">
        <v>159</v>
      </c>
      <c r="E55" t="s">
        <v>166</v>
      </c>
      <c r="F55" t="s">
        <v>175</v>
      </c>
      <c r="G55" s="13">
        <v>33352</v>
      </c>
      <c r="H55" s="16">
        <v>42379</v>
      </c>
      <c r="I55">
        <v>3</v>
      </c>
      <c r="J55" t="s">
        <v>181</v>
      </c>
      <c r="K55" t="s">
        <v>200</v>
      </c>
      <c r="L55" s="15">
        <v>33352</v>
      </c>
      <c r="M55" s="16">
        <v>42379</v>
      </c>
      <c r="N55">
        <v>3</v>
      </c>
      <c r="O55">
        <v>3</v>
      </c>
      <c r="P55" t="s">
        <v>181</v>
      </c>
      <c r="Q55" s="27">
        <v>45990</v>
      </c>
      <c r="R55" s="28">
        <v>45990.548522916666</v>
      </c>
      <c r="S55" s="26">
        <v>2016</v>
      </c>
      <c r="T55" s="26" t="s">
        <v>310</v>
      </c>
      <c r="U55" s="26"/>
      <c r="V55">
        <f>ROUND(VALUE(Table1_2[[#This Row],[Salary2]]),0)</f>
        <v>33352</v>
      </c>
      <c r="W55">
        <f>VALUE(Table1_2[[#This Row],[Performance Rating22]])</f>
        <v>3</v>
      </c>
    </row>
    <row r="56" spans="1:23" x14ac:dyDescent="0.35">
      <c r="A56" t="s">
        <v>63</v>
      </c>
      <c r="B56" t="s">
        <v>287</v>
      </c>
      <c r="C56">
        <v>1054</v>
      </c>
      <c r="D56" t="s">
        <v>165</v>
      </c>
      <c r="E56" t="s">
        <v>170</v>
      </c>
      <c r="F56" t="s">
        <v>175</v>
      </c>
      <c r="G56" s="13">
        <v>75633</v>
      </c>
      <c r="H56" s="16">
        <v>42386</v>
      </c>
      <c r="I56">
        <v>5</v>
      </c>
      <c r="J56" t="s">
        <v>179</v>
      </c>
      <c r="K56" t="s">
        <v>229</v>
      </c>
      <c r="L56" s="15">
        <v>75633</v>
      </c>
      <c r="M56" s="16">
        <v>42386</v>
      </c>
      <c r="N56">
        <v>5</v>
      </c>
      <c r="O56">
        <v>5</v>
      </c>
      <c r="P56" t="s">
        <v>179</v>
      </c>
      <c r="Q56" s="27">
        <v>45990</v>
      </c>
      <c r="R56" s="28">
        <v>45990.548522916666</v>
      </c>
      <c r="S56" s="26">
        <v>2016</v>
      </c>
      <c r="T56" s="26" t="s">
        <v>310</v>
      </c>
      <c r="U56" s="26"/>
      <c r="V56">
        <f>ROUND(VALUE(Table1_2[[#This Row],[Salary2]]),0)</f>
        <v>75633</v>
      </c>
      <c r="W56">
        <f>VALUE(Table1_2[[#This Row],[Performance Rating22]])</f>
        <v>5</v>
      </c>
    </row>
    <row r="57" spans="1:23" x14ac:dyDescent="0.35">
      <c r="A57" t="s">
        <v>64</v>
      </c>
      <c r="B57" t="s">
        <v>287</v>
      </c>
      <c r="C57">
        <v>1055</v>
      </c>
      <c r="D57" t="s">
        <v>164</v>
      </c>
      <c r="E57" t="s">
        <v>170</v>
      </c>
      <c r="F57" t="s">
        <v>173</v>
      </c>
      <c r="G57" s="13">
        <v>74815</v>
      </c>
      <c r="H57" s="16">
        <v>42393</v>
      </c>
      <c r="I57">
        <v>5</v>
      </c>
      <c r="J57" t="s">
        <v>181</v>
      </c>
      <c r="K57" t="s">
        <v>230</v>
      </c>
      <c r="L57" s="15">
        <v>74815</v>
      </c>
      <c r="M57" s="16">
        <v>42393</v>
      </c>
      <c r="N57">
        <v>5</v>
      </c>
      <c r="O57">
        <v>5</v>
      </c>
      <c r="P57" t="s">
        <v>181</v>
      </c>
      <c r="Q57" s="27">
        <v>45990</v>
      </c>
      <c r="R57" s="28">
        <v>45990.548522916666</v>
      </c>
      <c r="S57" s="26">
        <v>2016</v>
      </c>
      <c r="T57" s="26" t="s">
        <v>310</v>
      </c>
      <c r="U57" s="26"/>
      <c r="V57">
        <f>ROUND(VALUE(Table1_2[[#This Row],[Salary2]]),0)</f>
        <v>74815</v>
      </c>
      <c r="W57">
        <f>VALUE(Table1_2[[#This Row],[Performance Rating22]])</f>
        <v>5</v>
      </c>
    </row>
    <row r="58" spans="1:23" x14ac:dyDescent="0.35">
      <c r="A58" t="s">
        <v>65</v>
      </c>
      <c r="B58" t="s">
        <v>287</v>
      </c>
      <c r="C58">
        <v>1056</v>
      </c>
      <c r="D58" t="s">
        <v>161</v>
      </c>
      <c r="E58" t="s">
        <v>168</v>
      </c>
      <c r="F58" t="s">
        <v>176</v>
      </c>
      <c r="G58" s="13">
        <v>60011</v>
      </c>
      <c r="H58" s="16">
        <v>42400</v>
      </c>
      <c r="I58">
        <v>1</v>
      </c>
      <c r="J58" t="s">
        <v>180</v>
      </c>
      <c r="K58" t="s">
        <v>231</v>
      </c>
      <c r="L58" s="15">
        <v>60011</v>
      </c>
      <c r="M58" s="16">
        <v>42400</v>
      </c>
      <c r="N58">
        <v>1</v>
      </c>
      <c r="O58">
        <v>1</v>
      </c>
      <c r="P58" t="s">
        <v>180</v>
      </c>
      <c r="Q58" s="27">
        <v>45990</v>
      </c>
      <c r="R58" s="28">
        <v>45990.548522916666</v>
      </c>
      <c r="S58" s="26">
        <v>2016</v>
      </c>
      <c r="T58" s="26" t="s">
        <v>310</v>
      </c>
      <c r="U58" s="26"/>
      <c r="V58">
        <f>ROUND(VALUE(Table1_2[[#This Row],[Salary2]]),0)</f>
        <v>60011</v>
      </c>
      <c r="W58">
        <f>VALUE(Table1_2[[#This Row],[Performance Rating22]])</f>
        <v>1</v>
      </c>
    </row>
    <row r="59" spans="1:23" x14ac:dyDescent="0.35">
      <c r="A59" t="s">
        <v>66</v>
      </c>
      <c r="B59" t="s">
        <v>287</v>
      </c>
      <c r="C59">
        <v>1057</v>
      </c>
      <c r="D59" t="s">
        <v>159</v>
      </c>
      <c r="E59" t="s">
        <v>170</v>
      </c>
      <c r="F59" t="s">
        <v>174</v>
      </c>
      <c r="G59" s="13">
        <v>96949</v>
      </c>
      <c r="H59" s="16">
        <v>42407</v>
      </c>
      <c r="I59">
        <v>3</v>
      </c>
      <c r="K59" t="s">
        <v>207</v>
      </c>
      <c r="L59" s="15">
        <v>96949</v>
      </c>
      <c r="M59" s="16">
        <v>42407</v>
      </c>
      <c r="N59">
        <v>3</v>
      </c>
      <c r="O59">
        <v>3</v>
      </c>
      <c r="P59" t="s">
        <v>180</v>
      </c>
      <c r="Q59" s="27">
        <v>45990</v>
      </c>
      <c r="R59" s="28">
        <v>45990.548522916666</v>
      </c>
      <c r="S59" s="26">
        <v>2016</v>
      </c>
      <c r="T59" s="26" t="s">
        <v>311</v>
      </c>
      <c r="U59" s="26"/>
      <c r="V59">
        <f>ROUND(VALUE(Table1_2[[#This Row],[Salary2]]),0)</f>
        <v>96949</v>
      </c>
      <c r="W59">
        <f>VALUE(Table1_2[[#This Row],[Performance Rating22]])</f>
        <v>3</v>
      </c>
    </row>
    <row r="60" spans="1:23" x14ac:dyDescent="0.35">
      <c r="A60" t="s">
        <v>67</v>
      </c>
      <c r="B60" t="s">
        <v>287</v>
      </c>
      <c r="C60">
        <v>1058</v>
      </c>
      <c r="D60" t="s">
        <v>163</v>
      </c>
      <c r="E60" t="s">
        <v>170</v>
      </c>
      <c r="F60" t="s">
        <v>174</v>
      </c>
      <c r="G60" s="13">
        <v>84924</v>
      </c>
      <c r="H60" s="16">
        <v>42414</v>
      </c>
      <c r="I60">
        <v>5</v>
      </c>
      <c r="J60" t="s">
        <v>180</v>
      </c>
      <c r="K60" t="s">
        <v>232</v>
      </c>
      <c r="L60" s="15">
        <v>84924</v>
      </c>
      <c r="M60" s="16">
        <v>42414</v>
      </c>
      <c r="N60">
        <v>5</v>
      </c>
      <c r="O60">
        <v>5</v>
      </c>
      <c r="P60" t="s">
        <v>180</v>
      </c>
      <c r="Q60" s="27">
        <v>45990</v>
      </c>
      <c r="R60" s="28">
        <v>45990.548522916666</v>
      </c>
      <c r="S60" s="26">
        <v>2016</v>
      </c>
      <c r="T60" s="26" t="s">
        <v>311</v>
      </c>
      <c r="U60" s="26"/>
      <c r="V60">
        <f>ROUND(VALUE(Table1_2[[#This Row],[Salary2]]),0)</f>
        <v>84924</v>
      </c>
      <c r="W60">
        <f>VALUE(Table1_2[[#This Row],[Performance Rating22]])</f>
        <v>5</v>
      </c>
    </row>
    <row r="61" spans="1:23" x14ac:dyDescent="0.35">
      <c r="A61" t="s">
        <v>68</v>
      </c>
      <c r="B61" t="s">
        <v>287</v>
      </c>
      <c r="C61">
        <v>1059</v>
      </c>
      <c r="D61" t="s">
        <v>163</v>
      </c>
      <c r="E61" t="s">
        <v>166</v>
      </c>
      <c r="F61" t="s">
        <v>173</v>
      </c>
      <c r="G61" s="13">
        <v>82033</v>
      </c>
      <c r="H61" s="16">
        <v>42421</v>
      </c>
      <c r="I61">
        <v>1</v>
      </c>
      <c r="K61" t="s">
        <v>223</v>
      </c>
      <c r="L61" s="15">
        <v>82033</v>
      </c>
      <c r="M61" s="16">
        <v>42421</v>
      </c>
      <c r="N61">
        <v>1</v>
      </c>
      <c r="O61">
        <v>1</v>
      </c>
      <c r="P61" t="s">
        <v>180</v>
      </c>
      <c r="Q61" s="27">
        <v>45990</v>
      </c>
      <c r="R61" s="28">
        <v>45990.548522916666</v>
      </c>
      <c r="S61" s="26">
        <v>2016</v>
      </c>
      <c r="T61" s="26" t="s">
        <v>311</v>
      </c>
      <c r="U61" s="26"/>
      <c r="V61">
        <f>ROUND(VALUE(Table1_2[[#This Row],[Salary2]]),0)</f>
        <v>82033</v>
      </c>
      <c r="W61">
        <f>VALUE(Table1_2[[#This Row],[Performance Rating22]])</f>
        <v>1</v>
      </c>
    </row>
    <row r="62" spans="1:23" x14ac:dyDescent="0.35">
      <c r="A62" t="s">
        <v>69</v>
      </c>
      <c r="B62" t="s">
        <v>287</v>
      </c>
      <c r="C62">
        <v>1060</v>
      </c>
      <c r="D62" t="s">
        <v>178</v>
      </c>
      <c r="E62" t="s">
        <v>170</v>
      </c>
      <c r="F62" t="s">
        <v>172</v>
      </c>
      <c r="G62" s="13" t="s">
        <v>177</v>
      </c>
      <c r="H62" s="16"/>
      <c r="I62">
        <v>5</v>
      </c>
      <c r="J62" t="s">
        <v>178</v>
      </c>
      <c r="K62" t="s">
        <v>233</v>
      </c>
      <c r="L62" s="15">
        <v>65071.98</v>
      </c>
      <c r="M62" s="16">
        <v>42590</v>
      </c>
      <c r="N62">
        <v>5</v>
      </c>
      <c r="O62">
        <v>5</v>
      </c>
      <c r="P62" t="s">
        <v>178</v>
      </c>
      <c r="Q62" s="27">
        <v>45990</v>
      </c>
      <c r="R62" s="28">
        <v>45990.548522916666</v>
      </c>
      <c r="S62" s="26">
        <v>2016</v>
      </c>
      <c r="T62" s="26" t="s">
        <v>316</v>
      </c>
      <c r="U62" s="26"/>
      <c r="V62">
        <f>ROUND(VALUE(Table1_2[[#This Row],[Salary2]]),0)</f>
        <v>65072</v>
      </c>
      <c r="W62">
        <f>VALUE(Table1_2[[#This Row],[Performance Rating22]])</f>
        <v>5</v>
      </c>
    </row>
    <row r="63" spans="1:23" x14ac:dyDescent="0.35">
      <c r="A63" t="s">
        <v>70</v>
      </c>
      <c r="B63" t="s">
        <v>287</v>
      </c>
      <c r="C63">
        <v>1061</v>
      </c>
      <c r="D63" t="s">
        <v>159</v>
      </c>
      <c r="E63" t="s">
        <v>170</v>
      </c>
      <c r="F63" t="s">
        <v>176</v>
      </c>
      <c r="G63" s="13">
        <v>31499</v>
      </c>
      <c r="H63" s="16">
        <v>42435</v>
      </c>
      <c r="I63">
        <v>2</v>
      </c>
      <c r="K63" t="s">
        <v>215</v>
      </c>
      <c r="L63" s="15">
        <v>31499</v>
      </c>
      <c r="M63" s="16">
        <v>42435</v>
      </c>
      <c r="N63">
        <v>2</v>
      </c>
      <c r="O63">
        <v>2</v>
      </c>
      <c r="P63" t="s">
        <v>180</v>
      </c>
      <c r="Q63" s="27">
        <v>45990</v>
      </c>
      <c r="R63" s="28">
        <v>45990.548522916666</v>
      </c>
      <c r="S63" s="26">
        <v>2016</v>
      </c>
      <c r="T63" s="26" t="s">
        <v>309</v>
      </c>
      <c r="U63" s="26"/>
      <c r="V63">
        <f>ROUND(VALUE(Table1_2[[#This Row],[Salary2]]),0)</f>
        <v>31499</v>
      </c>
      <c r="W63">
        <f>VALUE(Table1_2[[#This Row],[Performance Rating22]])</f>
        <v>2</v>
      </c>
    </row>
    <row r="64" spans="1:23" x14ac:dyDescent="0.35">
      <c r="A64" t="s">
        <v>71</v>
      </c>
      <c r="B64" t="s">
        <v>287</v>
      </c>
      <c r="C64">
        <v>1062</v>
      </c>
      <c r="D64" t="s">
        <v>164</v>
      </c>
      <c r="E64" t="s">
        <v>169</v>
      </c>
      <c r="F64" t="s">
        <v>175</v>
      </c>
      <c r="G64" s="13">
        <v>97981</v>
      </c>
      <c r="H64" s="16">
        <v>42442</v>
      </c>
      <c r="I64">
        <v>5</v>
      </c>
      <c r="J64" t="s">
        <v>181</v>
      </c>
      <c r="K64" t="s">
        <v>234</v>
      </c>
      <c r="L64" s="15">
        <v>97981</v>
      </c>
      <c r="M64" s="16">
        <v>42442</v>
      </c>
      <c r="N64">
        <v>5</v>
      </c>
      <c r="O64">
        <v>5</v>
      </c>
      <c r="P64" t="s">
        <v>181</v>
      </c>
      <c r="Q64" s="27">
        <v>45990</v>
      </c>
      <c r="R64" s="28">
        <v>45990.548522916666</v>
      </c>
      <c r="S64" s="26">
        <v>2016</v>
      </c>
      <c r="T64" s="26" t="s">
        <v>309</v>
      </c>
      <c r="U64" s="26"/>
      <c r="V64">
        <f>ROUND(VALUE(Table1_2[[#This Row],[Salary2]]),0)</f>
        <v>97981</v>
      </c>
      <c r="W64">
        <f>VALUE(Table1_2[[#This Row],[Performance Rating22]])</f>
        <v>5</v>
      </c>
    </row>
    <row r="65" spans="1:23" x14ac:dyDescent="0.35">
      <c r="A65" t="s">
        <v>72</v>
      </c>
      <c r="B65" t="s">
        <v>287</v>
      </c>
      <c r="C65">
        <v>1063</v>
      </c>
      <c r="D65" t="s">
        <v>159</v>
      </c>
      <c r="E65" t="s">
        <v>167</v>
      </c>
      <c r="F65" t="s">
        <v>173</v>
      </c>
      <c r="G65" s="13">
        <v>36541</v>
      </c>
      <c r="H65" s="16">
        <v>42449</v>
      </c>
      <c r="I65">
        <v>2</v>
      </c>
      <c r="J65" t="s">
        <v>179</v>
      </c>
      <c r="K65" t="s">
        <v>235</v>
      </c>
      <c r="L65" s="15">
        <v>36541</v>
      </c>
      <c r="M65" s="16">
        <v>42449</v>
      </c>
      <c r="N65">
        <v>2</v>
      </c>
      <c r="O65">
        <v>2</v>
      </c>
      <c r="P65" t="s">
        <v>179</v>
      </c>
      <c r="Q65" s="27">
        <v>45990</v>
      </c>
      <c r="R65" s="28">
        <v>45990.548522916666</v>
      </c>
      <c r="S65" s="26">
        <v>2016</v>
      </c>
      <c r="T65" s="26" t="s">
        <v>309</v>
      </c>
      <c r="U65" s="26"/>
      <c r="V65">
        <f>ROUND(VALUE(Table1_2[[#This Row],[Salary2]]),0)</f>
        <v>36541</v>
      </c>
      <c r="W65">
        <f>VALUE(Table1_2[[#This Row],[Performance Rating22]])</f>
        <v>2</v>
      </c>
    </row>
    <row r="66" spans="1:23" x14ac:dyDescent="0.35">
      <c r="A66" t="s">
        <v>73</v>
      </c>
      <c r="B66" t="s">
        <v>287</v>
      </c>
      <c r="C66">
        <v>1064</v>
      </c>
      <c r="D66" t="s">
        <v>161</v>
      </c>
      <c r="E66" t="s">
        <v>169</v>
      </c>
      <c r="F66" t="s">
        <v>174</v>
      </c>
      <c r="G66" s="13">
        <v>84737</v>
      </c>
      <c r="H66" s="16">
        <v>42456</v>
      </c>
      <c r="I66">
        <v>1</v>
      </c>
      <c r="J66" t="s">
        <v>180</v>
      </c>
      <c r="K66" t="s">
        <v>236</v>
      </c>
      <c r="L66" s="15">
        <v>84737</v>
      </c>
      <c r="M66" s="16">
        <v>42456</v>
      </c>
      <c r="N66">
        <v>1</v>
      </c>
      <c r="O66">
        <v>1</v>
      </c>
      <c r="P66" t="s">
        <v>180</v>
      </c>
      <c r="Q66" s="27">
        <v>45990</v>
      </c>
      <c r="R66" s="28">
        <v>45990.548522916666</v>
      </c>
      <c r="S66" s="26">
        <v>2016</v>
      </c>
      <c r="T66" s="26" t="s">
        <v>309</v>
      </c>
      <c r="U66" s="26"/>
      <c r="V66">
        <f>ROUND(VALUE(Table1_2[[#This Row],[Salary2]]),0)</f>
        <v>84737</v>
      </c>
      <c r="W66">
        <f>VALUE(Table1_2[[#This Row],[Performance Rating22]])</f>
        <v>1</v>
      </c>
    </row>
    <row r="67" spans="1:23" x14ac:dyDescent="0.35">
      <c r="A67" t="s">
        <v>74</v>
      </c>
      <c r="B67" t="s">
        <v>287</v>
      </c>
      <c r="C67">
        <v>1065</v>
      </c>
      <c r="D67" t="s">
        <v>163</v>
      </c>
      <c r="E67" t="s">
        <v>166</v>
      </c>
      <c r="F67" t="s">
        <v>174</v>
      </c>
      <c r="G67" s="13">
        <v>33468</v>
      </c>
      <c r="H67" s="16">
        <v>42463</v>
      </c>
      <c r="I67">
        <v>4</v>
      </c>
      <c r="J67" t="s">
        <v>180</v>
      </c>
      <c r="K67" t="s">
        <v>237</v>
      </c>
      <c r="L67" s="15">
        <v>33468</v>
      </c>
      <c r="M67" s="16">
        <v>42463</v>
      </c>
      <c r="N67">
        <v>4</v>
      </c>
      <c r="O67">
        <v>4</v>
      </c>
      <c r="P67" t="s">
        <v>180</v>
      </c>
      <c r="Q67" s="27">
        <v>45990</v>
      </c>
      <c r="R67" s="28">
        <v>45990.548522916666</v>
      </c>
      <c r="S67" s="26">
        <v>2016</v>
      </c>
      <c r="T67" s="26" t="s">
        <v>312</v>
      </c>
      <c r="U67" s="26"/>
      <c r="V67">
        <f>ROUND(VALUE(Table1_2[[#This Row],[Salary2]]),0)</f>
        <v>33468</v>
      </c>
      <c r="W67">
        <f>VALUE(Table1_2[[#This Row],[Performance Rating22]])</f>
        <v>4</v>
      </c>
    </row>
    <row r="68" spans="1:23" x14ac:dyDescent="0.35">
      <c r="A68" t="s">
        <v>75</v>
      </c>
      <c r="B68" t="s">
        <v>287</v>
      </c>
      <c r="C68">
        <v>1066</v>
      </c>
      <c r="D68" t="s">
        <v>163</v>
      </c>
      <c r="E68" t="s">
        <v>170</v>
      </c>
      <c r="F68" t="s">
        <v>176</v>
      </c>
      <c r="G68" s="13">
        <v>96365</v>
      </c>
      <c r="H68" s="16">
        <v>42470</v>
      </c>
      <c r="I68">
        <v>3</v>
      </c>
      <c r="J68" t="s">
        <v>179</v>
      </c>
      <c r="K68" t="s">
        <v>238</v>
      </c>
      <c r="L68" s="15">
        <v>96365</v>
      </c>
      <c r="M68" s="16">
        <v>42470</v>
      </c>
      <c r="N68">
        <v>3</v>
      </c>
      <c r="O68">
        <v>3</v>
      </c>
      <c r="P68" t="s">
        <v>179</v>
      </c>
      <c r="Q68" s="27">
        <v>45990</v>
      </c>
      <c r="R68" s="28">
        <v>45990.548522916666</v>
      </c>
      <c r="S68" s="26">
        <v>2016</v>
      </c>
      <c r="T68" s="26" t="s">
        <v>312</v>
      </c>
      <c r="U68" s="26"/>
      <c r="V68">
        <f>ROUND(VALUE(Table1_2[[#This Row],[Salary2]]),0)</f>
        <v>96365</v>
      </c>
      <c r="W68">
        <f>VALUE(Table1_2[[#This Row],[Performance Rating22]])</f>
        <v>3</v>
      </c>
    </row>
    <row r="69" spans="1:23" x14ac:dyDescent="0.35">
      <c r="A69" t="s">
        <v>76</v>
      </c>
      <c r="B69" t="s">
        <v>287</v>
      </c>
      <c r="C69">
        <v>1067</v>
      </c>
      <c r="D69" t="s">
        <v>160</v>
      </c>
      <c r="E69" t="s">
        <v>168</v>
      </c>
      <c r="F69" t="s">
        <v>174</v>
      </c>
      <c r="G69" s="13">
        <v>61942</v>
      </c>
      <c r="H69" s="16">
        <v>42477</v>
      </c>
      <c r="I69">
        <v>3</v>
      </c>
      <c r="J69" t="s">
        <v>181</v>
      </c>
      <c r="K69" t="s">
        <v>239</v>
      </c>
      <c r="L69" s="15">
        <v>61942</v>
      </c>
      <c r="M69" s="16">
        <v>42477</v>
      </c>
      <c r="N69">
        <v>3</v>
      </c>
      <c r="O69">
        <v>3</v>
      </c>
      <c r="P69" t="s">
        <v>181</v>
      </c>
      <c r="Q69" s="27">
        <v>45990</v>
      </c>
      <c r="R69" s="28">
        <v>45990.548522916666</v>
      </c>
      <c r="S69" s="26">
        <v>2016</v>
      </c>
      <c r="T69" s="26" t="s">
        <v>312</v>
      </c>
      <c r="U69" s="26"/>
      <c r="V69">
        <f>ROUND(VALUE(Table1_2[[#This Row],[Salary2]]),0)</f>
        <v>61942</v>
      </c>
      <c r="W69">
        <f>VALUE(Table1_2[[#This Row],[Performance Rating22]])</f>
        <v>3</v>
      </c>
    </row>
    <row r="70" spans="1:23" x14ac:dyDescent="0.35">
      <c r="A70" t="s">
        <v>77</v>
      </c>
      <c r="B70" t="s">
        <v>287</v>
      </c>
      <c r="C70">
        <v>1068</v>
      </c>
      <c r="D70" t="s">
        <v>163</v>
      </c>
      <c r="E70" t="s">
        <v>166</v>
      </c>
      <c r="F70" t="s">
        <v>175</v>
      </c>
      <c r="G70" s="13">
        <v>41467</v>
      </c>
      <c r="H70" s="16">
        <v>42484</v>
      </c>
      <c r="I70">
        <v>2</v>
      </c>
      <c r="K70" t="s">
        <v>201</v>
      </c>
      <c r="L70" s="15">
        <v>41467</v>
      </c>
      <c r="M70" s="16">
        <v>42484</v>
      </c>
      <c r="N70">
        <v>2</v>
      </c>
      <c r="O70">
        <v>2</v>
      </c>
      <c r="P70" t="s">
        <v>180</v>
      </c>
      <c r="Q70" s="27">
        <v>45990</v>
      </c>
      <c r="R70" s="28">
        <v>45990.548522916666</v>
      </c>
      <c r="S70" s="26">
        <v>2016</v>
      </c>
      <c r="T70" s="26" t="s">
        <v>312</v>
      </c>
      <c r="U70" s="26"/>
      <c r="V70">
        <f>ROUND(VALUE(Table1_2[[#This Row],[Salary2]]),0)</f>
        <v>41467</v>
      </c>
      <c r="W70">
        <f>VALUE(Table1_2[[#This Row],[Performance Rating22]])</f>
        <v>2</v>
      </c>
    </row>
    <row r="71" spans="1:23" x14ac:dyDescent="0.35">
      <c r="A71" t="s">
        <v>78</v>
      </c>
      <c r="B71" t="s">
        <v>287</v>
      </c>
      <c r="C71">
        <v>1069</v>
      </c>
      <c r="D71" t="s">
        <v>165</v>
      </c>
      <c r="E71" t="s">
        <v>166</v>
      </c>
      <c r="F71" t="s">
        <v>174</v>
      </c>
      <c r="G71" s="13">
        <v>77096</v>
      </c>
      <c r="H71" s="16">
        <v>42491</v>
      </c>
      <c r="I71">
        <v>1</v>
      </c>
      <c r="K71" t="s">
        <v>240</v>
      </c>
      <c r="L71" s="15">
        <v>77096</v>
      </c>
      <c r="M71" s="16">
        <v>42491</v>
      </c>
      <c r="N71">
        <v>1</v>
      </c>
      <c r="O71">
        <v>1</v>
      </c>
      <c r="P71" t="s">
        <v>180</v>
      </c>
      <c r="Q71" s="27">
        <v>45990</v>
      </c>
      <c r="R71" s="28">
        <v>45990.548522916666</v>
      </c>
      <c r="S71" s="26">
        <v>2016</v>
      </c>
      <c r="T71" s="26" t="s">
        <v>313</v>
      </c>
      <c r="U71" s="26"/>
      <c r="V71">
        <f>ROUND(VALUE(Table1_2[[#This Row],[Salary2]]),0)</f>
        <v>77096</v>
      </c>
      <c r="W71">
        <f>VALUE(Table1_2[[#This Row],[Performance Rating22]])</f>
        <v>1</v>
      </c>
    </row>
    <row r="72" spans="1:23" x14ac:dyDescent="0.35">
      <c r="A72" t="s">
        <v>79</v>
      </c>
      <c r="B72" t="s">
        <v>287</v>
      </c>
      <c r="C72">
        <v>1070</v>
      </c>
      <c r="D72" t="s">
        <v>159</v>
      </c>
      <c r="E72" t="s">
        <v>168</v>
      </c>
      <c r="F72" t="s">
        <v>176</v>
      </c>
      <c r="G72" s="13">
        <v>69952</v>
      </c>
      <c r="H72" s="16">
        <v>42498</v>
      </c>
      <c r="I72">
        <v>5</v>
      </c>
      <c r="J72" t="s">
        <v>181</v>
      </c>
      <c r="K72" t="s">
        <v>182</v>
      </c>
      <c r="L72" s="15">
        <v>69952</v>
      </c>
      <c r="M72" s="16">
        <v>42498</v>
      </c>
      <c r="N72">
        <v>5</v>
      </c>
      <c r="O72">
        <v>5</v>
      </c>
      <c r="P72" t="s">
        <v>181</v>
      </c>
      <c r="Q72" s="27">
        <v>45990</v>
      </c>
      <c r="R72" s="28">
        <v>45990.548522916666</v>
      </c>
      <c r="S72" s="26">
        <v>2016</v>
      </c>
      <c r="T72" s="26" t="s">
        <v>313</v>
      </c>
      <c r="U72" s="26"/>
      <c r="V72">
        <f>ROUND(VALUE(Table1_2[[#This Row],[Salary2]]),0)</f>
        <v>69952</v>
      </c>
      <c r="W72">
        <f>VALUE(Table1_2[[#This Row],[Performance Rating22]])</f>
        <v>5</v>
      </c>
    </row>
    <row r="73" spans="1:23" x14ac:dyDescent="0.35">
      <c r="A73" t="s">
        <v>80</v>
      </c>
      <c r="B73" t="s">
        <v>287</v>
      </c>
      <c r="C73">
        <v>1071</v>
      </c>
      <c r="D73" t="s">
        <v>159</v>
      </c>
      <c r="E73" t="s">
        <v>170</v>
      </c>
      <c r="F73" t="s">
        <v>173</v>
      </c>
      <c r="G73" s="13">
        <v>85065</v>
      </c>
      <c r="H73" s="16">
        <v>42505</v>
      </c>
      <c r="I73">
        <v>3</v>
      </c>
      <c r="K73" t="s">
        <v>241</v>
      </c>
      <c r="L73" s="15">
        <v>85065</v>
      </c>
      <c r="M73" s="16">
        <v>42505</v>
      </c>
      <c r="N73">
        <v>3</v>
      </c>
      <c r="O73">
        <v>3</v>
      </c>
      <c r="P73" t="s">
        <v>180</v>
      </c>
      <c r="Q73" s="27">
        <v>45990</v>
      </c>
      <c r="R73" s="28">
        <v>45990.548522916666</v>
      </c>
      <c r="S73" s="26">
        <v>2016</v>
      </c>
      <c r="T73" s="26" t="s">
        <v>313</v>
      </c>
      <c r="U73" s="26"/>
      <c r="V73">
        <f>ROUND(VALUE(Table1_2[[#This Row],[Salary2]]),0)</f>
        <v>85065</v>
      </c>
      <c r="W73">
        <f>VALUE(Table1_2[[#This Row],[Performance Rating22]])</f>
        <v>3</v>
      </c>
    </row>
    <row r="74" spans="1:23" x14ac:dyDescent="0.35">
      <c r="A74" t="s">
        <v>81</v>
      </c>
      <c r="B74" t="s">
        <v>287</v>
      </c>
      <c r="C74">
        <v>1072</v>
      </c>
      <c r="D74" t="s">
        <v>165</v>
      </c>
      <c r="E74" t="s">
        <v>170</v>
      </c>
      <c r="F74" t="s">
        <v>174</v>
      </c>
      <c r="G74" s="13">
        <v>56512</v>
      </c>
      <c r="H74" s="16">
        <v>42512</v>
      </c>
      <c r="J74" t="s">
        <v>179</v>
      </c>
      <c r="K74" t="s">
        <v>190</v>
      </c>
      <c r="L74" s="15">
        <v>56512</v>
      </c>
      <c r="M74" s="16">
        <v>42512</v>
      </c>
      <c r="N74">
        <v>3.1086956521739131</v>
      </c>
      <c r="O74">
        <v>3</v>
      </c>
      <c r="P74" t="s">
        <v>179</v>
      </c>
      <c r="Q74" s="27">
        <v>45990</v>
      </c>
      <c r="R74" s="28">
        <v>45990.548522916666</v>
      </c>
      <c r="S74" s="26">
        <v>2016</v>
      </c>
      <c r="T74" s="26" t="s">
        <v>313</v>
      </c>
      <c r="U74" s="26"/>
      <c r="V74">
        <f>ROUND(VALUE(Table1_2[[#This Row],[Salary2]]),0)</f>
        <v>56512</v>
      </c>
      <c r="W74">
        <f>VALUE(Table1_2[[#This Row],[Performance Rating22]])</f>
        <v>3</v>
      </c>
    </row>
    <row r="75" spans="1:23" x14ac:dyDescent="0.35">
      <c r="A75" t="s">
        <v>82</v>
      </c>
      <c r="B75" t="s">
        <v>287</v>
      </c>
      <c r="C75">
        <v>1073</v>
      </c>
      <c r="D75" t="s">
        <v>161</v>
      </c>
      <c r="E75" t="s">
        <v>168</v>
      </c>
      <c r="F75" t="s">
        <v>174</v>
      </c>
      <c r="G75" s="13">
        <v>91101</v>
      </c>
      <c r="H75" s="16">
        <v>42519</v>
      </c>
      <c r="I75">
        <v>4</v>
      </c>
      <c r="J75" t="s">
        <v>181</v>
      </c>
      <c r="K75" t="s">
        <v>234</v>
      </c>
      <c r="L75" s="15">
        <v>91101</v>
      </c>
      <c r="M75" s="16">
        <v>42519</v>
      </c>
      <c r="N75">
        <v>4</v>
      </c>
      <c r="O75">
        <v>4</v>
      </c>
      <c r="P75" t="s">
        <v>181</v>
      </c>
      <c r="Q75" s="27">
        <v>45990</v>
      </c>
      <c r="R75" s="28">
        <v>45990.548522916666</v>
      </c>
      <c r="S75" s="26">
        <v>2016</v>
      </c>
      <c r="T75" s="26" t="s">
        <v>313</v>
      </c>
      <c r="U75" s="26"/>
      <c r="V75">
        <f>ROUND(VALUE(Table1_2[[#This Row],[Salary2]]),0)</f>
        <v>91101</v>
      </c>
      <c r="W75">
        <f>VALUE(Table1_2[[#This Row],[Performance Rating22]])</f>
        <v>4</v>
      </c>
    </row>
    <row r="76" spans="1:23" x14ac:dyDescent="0.35">
      <c r="A76" t="s">
        <v>83</v>
      </c>
      <c r="B76" t="s">
        <v>287</v>
      </c>
      <c r="C76">
        <v>1074</v>
      </c>
      <c r="D76" t="s">
        <v>163</v>
      </c>
      <c r="E76" t="s">
        <v>170</v>
      </c>
      <c r="F76" t="s">
        <v>172</v>
      </c>
      <c r="G76" s="13">
        <v>41243</v>
      </c>
      <c r="H76" s="16">
        <v>42526</v>
      </c>
      <c r="K76" t="s">
        <v>211</v>
      </c>
      <c r="L76" s="15">
        <v>41243</v>
      </c>
      <c r="M76" s="16">
        <v>42526</v>
      </c>
      <c r="N76">
        <v>3.1086956521739131</v>
      </c>
      <c r="O76">
        <v>3</v>
      </c>
      <c r="P76" t="s">
        <v>180</v>
      </c>
      <c r="Q76" s="27">
        <v>45990</v>
      </c>
      <c r="R76" s="28">
        <v>45990.548522916666</v>
      </c>
      <c r="S76" s="26">
        <v>2016</v>
      </c>
      <c r="T76" s="26" t="s">
        <v>314</v>
      </c>
      <c r="U76" s="26"/>
      <c r="V76">
        <f>ROUND(VALUE(Table1_2[[#This Row],[Salary2]]),0)</f>
        <v>41243</v>
      </c>
      <c r="W76">
        <f>VALUE(Table1_2[[#This Row],[Performance Rating22]])</f>
        <v>3</v>
      </c>
    </row>
    <row r="77" spans="1:23" x14ac:dyDescent="0.35">
      <c r="A77" t="s">
        <v>84</v>
      </c>
      <c r="B77" t="s">
        <v>287</v>
      </c>
      <c r="C77">
        <v>1075</v>
      </c>
      <c r="D77" t="s">
        <v>178</v>
      </c>
      <c r="E77" t="s">
        <v>168</v>
      </c>
      <c r="F77" t="s">
        <v>174</v>
      </c>
      <c r="G77" s="13">
        <v>96142</v>
      </c>
      <c r="H77" s="16">
        <v>42533</v>
      </c>
      <c r="I77">
        <v>1</v>
      </c>
      <c r="J77" t="s">
        <v>179</v>
      </c>
      <c r="K77" t="s">
        <v>242</v>
      </c>
      <c r="L77" s="15">
        <v>96142</v>
      </c>
      <c r="M77" s="16">
        <v>42533</v>
      </c>
      <c r="N77">
        <v>1</v>
      </c>
      <c r="O77">
        <v>1</v>
      </c>
      <c r="P77" t="s">
        <v>179</v>
      </c>
      <c r="Q77" s="27">
        <v>45990</v>
      </c>
      <c r="R77" s="28">
        <v>45990.548522916666</v>
      </c>
      <c r="S77" s="26">
        <v>2016</v>
      </c>
      <c r="T77" s="26" t="s">
        <v>314</v>
      </c>
      <c r="U77" s="26"/>
      <c r="V77">
        <f>ROUND(VALUE(Table1_2[[#This Row],[Salary2]]),0)</f>
        <v>96142</v>
      </c>
      <c r="W77">
        <f>VALUE(Table1_2[[#This Row],[Performance Rating22]])</f>
        <v>1</v>
      </c>
    </row>
    <row r="78" spans="1:23" x14ac:dyDescent="0.35">
      <c r="A78" t="s">
        <v>85</v>
      </c>
      <c r="B78" t="s">
        <v>287</v>
      </c>
      <c r="C78">
        <v>1076</v>
      </c>
      <c r="D78" t="s">
        <v>159</v>
      </c>
      <c r="E78" t="s">
        <v>169</v>
      </c>
      <c r="F78" t="s">
        <v>174</v>
      </c>
      <c r="G78" s="13">
        <v>94301</v>
      </c>
      <c r="H78" s="16">
        <v>42540</v>
      </c>
      <c r="I78">
        <v>1</v>
      </c>
      <c r="J78" t="s">
        <v>180</v>
      </c>
      <c r="K78" t="s">
        <v>223</v>
      </c>
      <c r="L78" s="15">
        <v>94301</v>
      </c>
      <c r="M78" s="16">
        <v>42540</v>
      </c>
      <c r="N78">
        <v>1</v>
      </c>
      <c r="O78">
        <v>1</v>
      </c>
      <c r="P78" t="s">
        <v>180</v>
      </c>
      <c r="Q78" s="27">
        <v>45990</v>
      </c>
      <c r="R78" s="28">
        <v>45990.548522916666</v>
      </c>
      <c r="S78" s="26">
        <v>2016</v>
      </c>
      <c r="T78" s="26" t="s">
        <v>314</v>
      </c>
      <c r="U78" s="26"/>
      <c r="V78">
        <f>ROUND(VALUE(Table1_2[[#This Row],[Salary2]]),0)</f>
        <v>94301</v>
      </c>
      <c r="W78">
        <f>VALUE(Table1_2[[#This Row],[Performance Rating22]])</f>
        <v>1</v>
      </c>
    </row>
    <row r="79" spans="1:23" x14ac:dyDescent="0.35">
      <c r="A79" t="s">
        <v>86</v>
      </c>
      <c r="B79" t="s">
        <v>287</v>
      </c>
      <c r="C79">
        <v>1077</v>
      </c>
      <c r="D79" t="s">
        <v>162</v>
      </c>
      <c r="E79" t="s">
        <v>170</v>
      </c>
      <c r="F79" t="s">
        <v>175</v>
      </c>
      <c r="G79" s="13">
        <v>69166</v>
      </c>
      <c r="H79" s="16">
        <v>42547</v>
      </c>
      <c r="I79">
        <v>1</v>
      </c>
      <c r="J79" t="s">
        <v>181</v>
      </c>
      <c r="K79" t="s">
        <v>243</v>
      </c>
      <c r="L79" s="15">
        <v>69166</v>
      </c>
      <c r="M79" s="16">
        <v>42547</v>
      </c>
      <c r="N79">
        <v>1</v>
      </c>
      <c r="O79">
        <v>1</v>
      </c>
      <c r="P79" t="s">
        <v>181</v>
      </c>
      <c r="Q79" s="27">
        <v>45990</v>
      </c>
      <c r="R79" s="28">
        <v>45990.548522916666</v>
      </c>
      <c r="S79" s="26">
        <v>2016</v>
      </c>
      <c r="T79" s="26" t="s">
        <v>314</v>
      </c>
      <c r="U79" s="26"/>
      <c r="V79">
        <f>ROUND(VALUE(Table1_2[[#This Row],[Salary2]]),0)</f>
        <v>69166</v>
      </c>
      <c r="W79">
        <f>VALUE(Table1_2[[#This Row],[Performance Rating22]])</f>
        <v>1</v>
      </c>
    </row>
    <row r="80" spans="1:23" x14ac:dyDescent="0.35">
      <c r="A80" t="s">
        <v>87</v>
      </c>
      <c r="B80" t="s">
        <v>287</v>
      </c>
      <c r="C80">
        <v>1078</v>
      </c>
      <c r="D80" t="s">
        <v>163</v>
      </c>
      <c r="E80" t="s">
        <v>170</v>
      </c>
      <c r="F80" t="s">
        <v>175</v>
      </c>
      <c r="G80" s="13">
        <v>78245</v>
      </c>
      <c r="H80" s="16">
        <v>42554</v>
      </c>
      <c r="I80">
        <v>2</v>
      </c>
      <c r="K80" t="s">
        <v>244</v>
      </c>
      <c r="L80" s="15">
        <v>78245</v>
      </c>
      <c r="M80" s="16">
        <v>42554</v>
      </c>
      <c r="N80">
        <v>2</v>
      </c>
      <c r="O80">
        <v>2</v>
      </c>
      <c r="P80" t="s">
        <v>180</v>
      </c>
      <c r="Q80" s="27">
        <v>45990</v>
      </c>
      <c r="R80" s="28">
        <v>45990.548522916666</v>
      </c>
      <c r="S80" s="26">
        <v>2016</v>
      </c>
      <c r="T80" s="26" t="s">
        <v>315</v>
      </c>
      <c r="U80" s="26"/>
      <c r="V80">
        <f>ROUND(VALUE(Table1_2[[#This Row],[Salary2]]),0)</f>
        <v>78245</v>
      </c>
      <c r="W80">
        <f>VALUE(Table1_2[[#This Row],[Performance Rating22]])</f>
        <v>2</v>
      </c>
    </row>
    <row r="81" spans="1:23" x14ac:dyDescent="0.35">
      <c r="A81" t="s">
        <v>88</v>
      </c>
      <c r="B81" t="s">
        <v>287</v>
      </c>
      <c r="C81">
        <v>1079</v>
      </c>
      <c r="D81" t="s">
        <v>164</v>
      </c>
      <c r="E81" t="s">
        <v>168</v>
      </c>
      <c r="F81" t="s">
        <v>173</v>
      </c>
      <c r="G81" s="13">
        <v>66079</v>
      </c>
      <c r="H81" s="16">
        <v>42561</v>
      </c>
      <c r="I81">
        <v>2</v>
      </c>
      <c r="J81" t="s">
        <v>179</v>
      </c>
      <c r="K81" t="s">
        <v>245</v>
      </c>
      <c r="L81" s="15">
        <v>66079</v>
      </c>
      <c r="M81" s="16">
        <v>42561</v>
      </c>
      <c r="N81">
        <v>2</v>
      </c>
      <c r="O81">
        <v>2</v>
      </c>
      <c r="P81" t="s">
        <v>179</v>
      </c>
      <c r="Q81" s="27">
        <v>45990</v>
      </c>
      <c r="R81" s="28">
        <v>45990.548522916666</v>
      </c>
      <c r="S81" s="26">
        <v>2016</v>
      </c>
      <c r="T81" s="26" t="s">
        <v>315</v>
      </c>
      <c r="U81" s="26"/>
      <c r="V81">
        <f>ROUND(VALUE(Table1_2[[#This Row],[Salary2]]),0)</f>
        <v>66079</v>
      </c>
      <c r="W81">
        <f>VALUE(Table1_2[[#This Row],[Performance Rating22]])</f>
        <v>2</v>
      </c>
    </row>
    <row r="82" spans="1:23" x14ac:dyDescent="0.35">
      <c r="A82" t="s">
        <v>89</v>
      </c>
      <c r="B82" t="s">
        <v>287</v>
      </c>
      <c r="C82">
        <v>1080</v>
      </c>
      <c r="D82" t="s">
        <v>159</v>
      </c>
      <c r="E82" t="s">
        <v>170</v>
      </c>
      <c r="F82" t="s">
        <v>174</v>
      </c>
      <c r="G82" s="13" t="s">
        <v>177</v>
      </c>
      <c r="H82" s="16"/>
      <c r="K82" t="s">
        <v>208</v>
      </c>
      <c r="L82" s="15">
        <v>65071.98</v>
      </c>
      <c r="M82" s="16">
        <v>42590</v>
      </c>
      <c r="N82">
        <v>3.1086956521739131</v>
      </c>
      <c r="O82">
        <v>3</v>
      </c>
      <c r="P82" t="s">
        <v>180</v>
      </c>
      <c r="Q82" s="27">
        <v>45990</v>
      </c>
      <c r="R82" s="28">
        <v>45990.548522916666</v>
      </c>
      <c r="S82" s="26">
        <v>2016</v>
      </c>
      <c r="T82" s="26" t="s">
        <v>316</v>
      </c>
      <c r="U82" s="26"/>
      <c r="V82">
        <f>ROUND(VALUE(Table1_2[[#This Row],[Salary2]]),0)</f>
        <v>65072</v>
      </c>
      <c r="W82">
        <f>VALUE(Table1_2[[#This Row],[Performance Rating22]])</f>
        <v>3</v>
      </c>
    </row>
    <row r="83" spans="1:23" x14ac:dyDescent="0.35">
      <c r="A83" t="s">
        <v>90</v>
      </c>
      <c r="B83" t="s">
        <v>287</v>
      </c>
      <c r="C83">
        <v>1081</v>
      </c>
      <c r="D83" t="s">
        <v>162</v>
      </c>
      <c r="E83" t="s">
        <v>168</v>
      </c>
      <c r="F83" t="s">
        <v>173</v>
      </c>
      <c r="G83" s="13">
        <v>95621</v>
      </c>
      <c r="H83" s="16">
        <v>42575</v>
      </c>
      <c r="I83">
        <v>3</v>
      </c>
      <c r="J83" t="s">
        <v>181</v>
      </c>
      <c r="K83" t="s">
        <v>246</v>
      </c>
      <c r="L83" s="15">
        <v>95621</v>
      </c>
      <c r="M83" s="16">
        <v>42575</v>
      </c>
      <c r="N83">
        <v>3</v>
      </c>
      <c r="O83">
        <v>3</v>
      </c>
      <c r="P83" t="s">
        <v>181</v>
      </c>
      <c r="Q83" s="27">
        <v>45990</v>
      </c>
      <c r="R83" s="28">
        <v>45990.548522916666</v>
      </c>
      <c r="S83" s="26">
        <v>2016</v>
      </c>
      <c r="T83" s="26" t="s">
        <v>315</v>
      </c>
      <c r="U83" s="26"/>
      <c r="V83">
        <f>ROUND(VALUE(Table1_2[[#This Row],[Salary2]]),0)</f>
        <v>95621</v>
      </c>
      <c r="W83">
        <f>VALUE(Table1_2[[#This Row],[Performance Rating22]])</f>
        <v>3</v>
      </c>
    </row>
    <row r="84" spans="1:23" x14ac:dyDescent="0.35">
      <c r="A84" t="s">
        <v>91</v>
      </c>
      <c r="B84" t="s">
        <v>287</v>
      </c>
      <c r="C84">
        <v>1082</v>
      </c>
      <c r="D84" t="s">
        <v>159</v>
      </c>
      <c r="E84" t="s">
        <v>169</v>
      </c>
      <c r="F84" t="s">
        <v>175</v>
      </c>
      <c r="G84" s="13">
        <v>42262</v>
      </c>
      <c r="H84" s="16">
        <v>42582</v>
      </c>
      <c r="I84">
        <v>1</v>
      </c>
      <c r="K84" t="s">
        <v>247</v>
      </c>
      <c r="L84" s="15">
        <v>42262</v>
      </c>
      <c r="M84" s="16">
        <v>42582</v>
      </c>
      <c r="N84">
        <v>1</v>
      </c>
      <c r="O84">
        <v>1</v>
      </c>
      <c r="P84" t="s">
        <v>180</v>
      </c>
      <c r="Q84" s="27">
        <v>45990</v>
      </c>
      <c r="R84" s="28">
        <v>45990.548522916666</v>
      </c>
      <c r="S84" s="26">
        <v>2016</v>
      </c>
      <c r="T84" s="26" t="s">
        <v>315</v>
      </c>
      <c r="U84" s="26"/>
      <c r="V84">
        <f>ROUND(VALUE(Table1_2[[#This Row],[Salary2]]),0)</f>
        <v>42262</v>
      </c>
      <c r="W84">
        <f>VALUE(Table1_2[[#This Row],[Performance Rating22]])</f>
        <v>1</v>
      </c>
    </row>
    <row r="85" spans="1:23" x14ac:dyDescent="0.35">
      <c r="A85" t="s">
        <v>92</v>
      </c>
      <c r="B85" t="s">
        <v>287</v>
      </c>
      <c r="C85">
        <v>1083</v>
      </c>
      <c r="D85" t="s">
        <v>163</v>
      </c>
      <c r="E85" t="s">
        <v>168</v>
      </c>
      <c r="F85" t="s">
        <v>174</v>
      </c>
      <c r="G85" s="13">
        <v>99621</v>
      </c>
      <c r="H85" s="16">
        <v>42589</v>
      </c>
      <c r="J85" t="s">
        <v>179</v>
      </c>
      <c r="K85" t="s">
        <v>248</v>
      </c>
      <c r="L85" s="15">
        <v>99621</v>
      </c>
      <c r="M85" s="16">
        <v>42589</v>
      </c>
      <c r="N85">
        <v>2.7272727272727271</v>
      </c>
      <c r="O85">
        <v>3</v>
      </c>
      <c r="P85" t="s">
        <v>179</v>
      </c>
      <c r="Q85" s="27">
        <v>45990</v>
      </c>
      <c r="R85" s="28">
        <v>45990.548522916666</v>
      </c>
      <c r="S85" s="26">
        <v>2016</v>
      </c>
      <c r="T85" s="26" t="s">
        <v>316</v>
      </c>
      <c r="U85" s="26"/>
      <c r="V85">
        <f>ROUND(VALUE(Table1_2[[#This Row],[Salary2]]),0)</f>
        <v>99621</v>
      </c>
      <c r="W85">
        <f>VALUE(Table1_2[[#This Row],[Performance Rating22]])</f>
        <v>3</v>
      </c>
    </row>
    <row r="86" spans="1:23" x14ac:dyDescent="0.35">
      <c r="A86" t="s">
        <v>93</v>
      </c>
      <c r="B86" t="s">
        <v>287</v>
      </c>
      <c r="C86">
        <v>1084</v>
      </c>
      <c r="D86" t="s">
        <v>161</v>
      </c>
      <c r="E86" t="s">
        <v>170</v>
      </c>
      <c r="F86" t="s">
        <v>174</v>
      </c>
      <c r="G86" s="13">
        <v>44682</v>
      </c>
      <c r="H86" s="16">
        <v>42596</v>
      </c>
      <c r="I86">
        <v>4</v>
      </c>
      <c r="J86" t="s">
        <v>181</v>
      </c>
      <c r="K86" t="s">
        <v>220</v>
      </c>
      <c r="L86" s="15">
        <v>44682</v>
      </c>
      <c r="M86" s="16">
        <v>42596</v>
      </c>
      <c r="N86">
        <v>4</v>
      </c>
      <c r="O86">
        <v>4</v>
      </c>
      <c r="P86" t="s">
        <v>181</v>
      </c>
      <c r="Q86" s="27">
        <v>45990</v>
      </c>
      <c r="R86" s="28">
        <v>45990.548522916666</v>
      </c>
      <c r="S86" s="26">
        <v>2016</v>
      </c>
      <c r="T86" s="26" t="s">
        <v>316</v>
      </c>
      <c r="U86" s="26"/>
      <c r="V86">
        <f>ROUND(VALUE(Table1_2[[#This Row],[Salary2]]),0)</f>
        <v>44682</v>
      </c>
      <c r="W86">
        <f>VALUE(Table1_2[[#This Row],[Performance Rating22]])</f>
        <v>4</v>
      </c>
    </row>
    <row r="87" spans="1:23" x14ac:dyDescent="0.35">
      <c r="A87" t="s">
        <v>94</v>
      </c>
      <c r="B87" t="s">
        <v>287</v>
      </c>
      <c r="C87">
        <v>1085</v>
      </c>
      <c r="D87" t="s">
        <v>164</v>
      </c>
      <c r="E87" t="s">
        <v>166</v>
      </c>
      <c r="F87" t="s">
        <v>174</v>
      </c>
      <c r="G87" s="13">
        <v>35163</v>
      </c>
      <c r="H87" s="16">
        <v>42603</v>
      </c>
      <c r="I87">
        <v>5</v>
      </c>
      <c r="J87" t="s">
        <v>179</v>
      </c>
      <c r="K87" t="s">
        <v>249</v>
      </c>
      <c r="L87" s="15">
        <v>35163</v>
      </c>
      <c r="M87" s="16">
        <v>42603</v>
      </c>
      <c r="N87">
        <v>5</v>
      </c>
      <c r="O87">
        <v>5</v>
      </c>
      <c r="P87" t="s">
        <v>179</v>
      </c>
      <c r="Q87" s="27">
        <v>45990</v>
      </c>
      <c r="R87" s="28">
        <v>45990.548522916666</v>
      </c>
      <c r="S87" s="26">
        <v>2016</v>
      </c>
      <c r="T87" s="26" t="s">
        <v>316</v>
      </c>
      <c r="U87" s="26"/>
      <c r="V87">
        <f>ROUND(VALUE(Table1_2[[#This Row],[Salary2]]),0)</f>
        <v>35163</v>
      </c>
      <c r="W87">
        <f>VALUE(Table1_2[[#This Row],[Performance Rating22]])</f>
        <v>5</v>
      </c>
    </row>
    <row r="88" spans="1:23" x14ac:dyDescent="0.35">
      <c r="A88" t="s">
        <v>95</v>
      </c>
      <c r="B88" t="s">
        <v>287</v>
      </c>
      <c r="C88">
        <v>1086</v>
      </c>
      <c r="D88" t="s">
        <v>164</v>
      </c>
      <c r="E88" t="s">
        <v>169</v>
      </c>
      <c r="F88" t="s">
        <v>174</v>
      </c>
      <c r="G88" s="13">
        <v>33483</v>
      </c>
      <c r="H88" s="16">
        <v>42610</v>
      </c>
      <c r="I88">
        <v>4</v>
      </c>
      <c r="J88" t="s">
        <v>180</v>
      </c>
      <c r="K88" t="s">
        <v>250</v>
      </c>
      <c r="L88" s="15">
        <v>33483</v>
      </c>
      <c r="M88" s="16">
        <v>42610</v>
      </c>
      <c r="N88">
        <v>4</v>
      </c>
      <c r="O88">
        <v>4</v>
      </c>
      <c r="P88" t="s">
        <v>180</v>
      </c>
      <c r="Q88" s="27">
        <v>45990</v>
      </c>
      <c r="R88" s="28">
        <v>45990.548522916666</v>
      </c>
      <c r="S88" s="26">
        <v>2016</v>
      </c>
      <c r="T88" s="26" t="s">
        <v>316</v>
      </c>
      <c r="U88" s="26"/>
      <c r="V88">
        <f>ROUND(VALUE(Table1_2[[#This Row],[Salary2]]),0)</f>
        <v>33483</v>
      </c>
      <c r="W88">
        <f>VALUE(Table1_2[[#This Row],[Performance Rating22]])</f>
        <v>4</v>
      </c>
    </row>
    <row r="89" spans="1:23" x14ac:dyDescent="0.35">
      <c r="A89" t="s">
        <v>96</v>
      </c>
      <c r="B89" t="s">
        <v>287</v>
      </c>
      <c r="C89">
        <v>1087</v>
      </c>
      <c r="D89" t="s">
        <v>163</v>
      </c>
      <c r="E89" t="s">
        <v>167</v>
      </c>
      <c r="F89" t="s">
        <v>172</v>
      </c>
      <c r="G89" s="13">
        <v>55303</v>
      </c>
      <c r="H89" s="16">
        <v>42617</v>
      </c>
      <c r="I89">
        <v>4</v>
      </c>
      <c r="J89" t="s">
        <v>180</v>
      </c>
      <c r="K89" t="s">
        <v>203</v>
      </c>
      <c r="L89" s="15">
        <v>55303</v>
      </c>
      <c r="M89" s="16">
        <v>42617</v>
      </c>
      <c r="N89">
        <v>4</v>
      </c>
      <c r="O89">
        <v>4</v>
      </c>
      <c r="P89" t="s">
        <v>180</v>
      </c>
      <c r="Q89" s="27">
        <v>45990</v>
      </c>
      <c r="R89" s="28">
        <v>45990.548522916666</v>
      </c>
      <c r="S89" s="26">
        <v>2016</v>
      </c>
      <c r="T89" s="26" t="s">
        <v>317</v>
      </c>
      <c r="U89" s="26"/>
      <c r="V89">
        <f>ROUND(VALUE(Table1_2[[#This Row],[Salary2]]),0)</f>
        <v>55303</v>
      </c>
      <c r="W89">
        <f>VALUE(Table1_2[[#This Row],[Performance Rating22]])</f>
        <v>4</v>
      </c>
    </row>
    <row r="90" spans="1:23" x14ac:dyDescent="0.35">
      <c r="A90" t="s">
        <v>97</v>
      </c>
      <c r="B90" t="s">
        <v>287</v>
      </c>
      <c r="C90">
        <v>1088</v>
      </c>
      <c r="D90" t="s">
        <v>164</v>
      </c>
      <c r="E90" t="s">
        <v>169</v>
      </c>
      <c r="F90" t="s">
        <v>174</v>
      </c>
      <c r="G90" s="13">
        <v>63434</v>
      </c>
      <c r="H90" s="16">
        <v>42624</v>
      </c>
      <c r="I90">
        <v>3</v>
      </c>
      <c r="K90" t="s">
        <v>251</v>
      </c>
      <c r="L90" s="15">
        <v>63434</v>
      </c>
      <c r="M90" s="16">
        <v>42624</v>
      </c>
      <c r="N90">
        <v>3</v>
      </c>
      <c r="O90">
        <v>3</v>
      </c>
      <c r="P90" t="s">
        <v>180</v>
      </c>
      <c r="Q90" s="27">
        <v>45990</v>
      </c>
      <c r="R90" s="28">
        <v>45990.548522916666</v>
      </c>
      <c r="S90" s="26">
        <v>2016</v>
      </c>
      <c r="T90" s="26" t="s">
        <v>317</v>
      </c>
      <c r="U90" s="26"/>
      <c r="V90">
        <f>ROUND(VALUE(Table1_2[[#This Row],[Salary2]]),0)</f>
        <v>63434</v>
      </c>
      <c r="W90">
        <f>VALUE(Table1_2[[#This Row],[Performance Rating22]])</f>
        <v>3</v>
      </c>
    </row>
    <row r="91" spans="1:23" x14ac:dyDescent="0.35">
      <c r="A91" t="s">
        <v>98</v>
      </c>
      <c r="B91" t="s">
        <v>287</v>
      </c>
      <c r="C91">
        <v>1089</v>
      </c>
      <c r="D91" t="s">
        <v>162</v>
      </c>
      <c r="E91" t="s">
        <v>170</v>
      </c>
      <c r="F91" t="s">
        <v>176</v>
      </c>
      <c r="G91" s="13">
        <v>38830</v>
      </c>
      <c r="H91" s="16">
        <v>42631</v>
      </c>
      <c r="I91">
        <v>3</v>
      </c>
      <c r="J91" t="s">
        <v>179</v>
      </c>
      <c r="K91" t="s">
        <v>203</v>
      </c>
      <c r="L91" s="15">
        <v>38830</v>
      </c>
      <c r="M91" s="16">
        <v>42631</v>
      </c>
      <c r="N91">
        <v>3</v>
      </c>
      <c r="O91">
        <v>3</v>
      </c>
      <c r="P91" t="s">
        <v>179</v>
      </c>
      <c r="Q91" s="27">
        <v>45990</v>
      </c>
      <c r="R91" s="28">
        <v>45990.548522916666</v>
      </c>
      <c r="S91" s="26">
        <v>2016</v>
      </c>
      <c r="T91" s="26" t="s">
        <v>317</v>
      </c>
      <c r="U91" s="26"/>
      <c r="V91">
        <f>ROUND(VALUE(Table1_2[[#This Row],[Salary2]]),0)</f>
        <v>38830</v>
      </c>
      <c r="W91">
        <f>VALUE(Table1_2[[#This Row],[Performance Rating22]])</f>
        <v>3</v>
      </c>
    </row>
    <row r="92" spans="1:23" x14ac:dyDescent="0.35">
      <c r="A92" t="s">
        <v>99</v>
      </c>
      <c r="B92" t="s">
        <v>287</v>
      </c>
      <c r="C92">
        <v>1090</v>
      </c>
      <c r="D92" t="s">
        <v>178</v>
      </c>
      <c r="E92" t="s">
        <v>170</v>
      </c>
      <c r="F92" t="s">
        <v>175</v>
      </c>
      <c r="G92" s="13">
        <v>50741</v>
      </c>
      <c r="H92" s="16">
        <v>42638</v>
      </c>
      <c r="I92">
        <v>3</v>
      </c>
      <c r="J92" t="s">
        <v>178</v>
      </c>
      <c r="K92" t="s">
        <v>240</v>
      </c>
      <c r="L92" s="15">
        <v>50741</v>
      </c>
      <c r="M92" s="16">
        <v>42638</v>
      </c>
      <c r="N92">
        <v>3</v>
      </c>
      <c r="O92">
        <v>3</v>
      </c>
      <c r="P92" t="s">
        <v>178</v>
      </c>
      <c r="Q92" s="27">
        <v>45990</v>
      </c>
      <c r="R92" s="28">
        <v>45990.548522916666</v>
      </c>
      <c r="S92" s="26">
        <v>2016</v>
      </c>
      <c r="T92" s="26" t="s">
        <v>317</v>
      </c>
      <c r="U92" s="26"/>
      <c r="V92">
        <f>ROUND(VALUE(Table1_2[[#This Row],[Salary2]]),0)</f>
        <v>50741</v>
      </c>
      <c r="W92">
        <f>VALUE(Table1_2[[#This Row],[Performance Rating22]])</f>
        <v>3</v>
      </c>
    </row>
    <row r="93" spans="1:23" x14ac:dyDescent="0.35">
      <c r="A93" t="s">
        <v>100</v>
      </c>
      <c r="B93" t="s">
        <v>287</v>
      </c>
      <c r="C93">
        <v>1091</v>
      </c>
      <c r="D93" t="s">
        <v>160</v>
      </c>
      <c r="E93" t="s">
        <v>167</v>
      </c>
      <c r="F93" t="s">
        <v>176</v>
      </c>
      <c r="G93" s="13">
        <v>69420</v>
      </c>
      <c r="H93" s="16">
        <v>42645</v>
      </c>
      <c r="I93">
        <v>1</v>
      </c>
      <c r="J93" t="s">
        <v>180</v>
      </c>
      <c r="K93" t="s">
        <v>225</v>
      </c>
      <c r="L93" s="15">
        <v>69420</v>
      </c>
      <c r="M93" s="16">
        <v>42645</v>
      </c>
      <c r="N93">
        <v>1</v>
      </c>
      <c r="O93">
        <v>1</v>
      </c>
      <c r="P93" t="s">
        <v>180</v>
      </c>
      <c r="Q93" s="27">
        <v>45990</v>
      </c>
      <c r="R93" s="28">
        <v>45990.548522916666</v>
      </c>
      <c r="S93" s="26">
        <v>2016</v>
      </c>
      <c r="T93" s="26" t="s">
        <v>318</v>
      </c>
      <c r="U93" s="26"/>
      <c r="V93">
        <f>ROUND(VALUE(Table1_2[[#This Row],[Salary2]]),0)</f>
        <v>69420</v>
      </c>
      <c r="W93">
        <f>VALUE(Table1_2[[#This Row],[Performance Rating22]])</f>
        <v>1</v>
      </c>
    </row>
    <row r="94" spans="1:23" x14ac:dyDescent="0.35">
      <c r="A94" t="s">
        <v>101</v>
      </c>
      <c r="B94" t="s">
        <v>287</v>
      </c>
      <c r="C94">
        <v>1092</v>
      </c>
      <c r="D94" t="s">
        <v>162</v>
      </c>
      <c r="E94" t="s">
        <v>169</v>
      </c>
      <c r="F94" t="s">
        <v>174</v>
      </c>
      <c r="G94" s="13">
        <v>80588</v>
      </c>
      <c r="H94" s="16">
        <v>42652</v>
      </c>
      <c r="I94">
        <v>5</v>
      </c>
      <c r="J94" t="s">
        <v>180</v>
      </c>
      <c r="K94" t="s">
        <v>216</v>
      </c>
      <c r="L94" s="15">
        <v>80588</v>
      </c>
      <c r="M94" s="16">
        <v>42652</v>
      </c>
      <c r="N94">
        <v>5</v>
      </c>
      <c r="O94">
        <v>5</v>
      </c>
      <c r="P94" t="s">
        <v>180</v>
      </c>
      <c r="Q94" s="27">
        <v>45990</v>
      </c>
      <c r="R94" s="28">
        <v>45990.548522916666</v>
      </c>
      <c r="S94" s="26">
        <v>2016</v>
      </c>
      <c r="T94" s="26" t="s">
        <v>318</v>
      </c>
      <c r="U94" s="26"/>
      <c r="V94">
        <f>ROUND(VALUE(Table1_2[[#This Row],[Salary2]]),0)</f>
        <v>80588</v>
      </c>
      <c r="W94">
        <f>VALUE(Table1_2[[#This Row],[Performance Rating22]])</f>
        <v>5</v>
      </c>
    </row>
    <row r="95" spans="1:23" x14ac:dyDescent="0.35">
      <c r="A95" t="s">
        <v>102</v>
      </c>
      <c r="B95" t="s">
        <v>287</v>
      </c>
      <c r="C95">
        <v>1093</v>
      </c>
      <c r="D95" t="s">
        <v>160</v>
      </c>
      <c r="E95" t="s">
        <v>170</v>
      </c>
      <c r="F95" t="s">
        <v>173</v>
      </c>
      <c r="G95" s="13">
        <v>76238</v>
      </c>
      <c r="H95" s="16">
        <v>42659</v>
      </c>
      <c r="I95">
        <v>4</v>
      </c>
      <c r="J95" t="s">
        <v>180</v>
      </c>
      <c r="K95" t="s">
        <v>252</v>
      </c>
      <c r="L95" s="15">
        <v>76238</v>
      </c>
      <c r="M95" s="16">
        <v>42659</v>
      </c>
      <c r="N95">
        <v>4</v>
      </c>
      <c r="O95">
        <v>4</v>
      </c>
      <c r="P95" t="s">
        <v>180</v>
      </c>
      <c r="Q95" s="27">
        <v>45990</v>
      </c>
      <c r="R95" s="28">
        <v>45990.548522916666</v>
      </c>
      <c r="S95" s="26">
        <v>2016</v>
      </c>
      <c r="T95" s="26" t="s">
        <v>318</v>
      </c>
      <c r="U95" s="26"/>
      <c r="V95">
        <f>ROUND(VALUE(Table1_2[[#This Row],[Salary2]]),0)</f>
        <v>76238</v>
      </c>
      <c r="W95">
        <f>VALUE(Table1_2[[#This Row],[Performance Rating22]])</f>
        <v>4</v>
      </c>
    </row>
    <row r="96" spans="1:23" x14ac:dyDescent="0.35">
      <c r="A96" t="s">
        <v>103</v>
      </c>
      <c r="B96" t="s">
        <v>287</v>
      </c>
      <c r="C96">
        <v>1094</v>
      </c>
      <c r="D96" t="s">
        <v>165</v>
      </c>
      <c r="E96" t="s">
        <v>169</v>
      </c>
      <c r="F96" t="s">
        <v>174</v>
      </c>
      <c r="G96" s="13">
        <v>33264</v>
      </c>
      <c r="H96" s="16">
        <v>42666</v>
      </c>
      <c r="J96" t="s">
        <v>181</v>
      </c>
      <c r="K96" t="s">
        <v>253</v>
      </c>
      <c r="L96" s="15">
        <v>33264</v>
      </c>
      <c r="M96" s="16">
        <v>42666</v>
      </c>
      <c r="N96">
        <v>2.9444444444444446</v>
      </c>
      <c r="O96">
        <v>3</v>
      </c>
      <c r="P96" t="s">
        <v>181</v>
      </c>
      <c r="Q96" s="27">
        <v>45990</v>
      </c>
      <c r="R96" s="28">
        <v>45990.548522916666</v>
      </c>
      <c r="S96" s="26">
        <v>2016</v>
      </c>
      <c r="T96" s="26" t="s">
        <v>318</v>
      </c>
      <c r="U96" s="26"/>
      <c r="V96">
        <f>ROUND(VALUE(Table1_2[[#This Row],[Salary2]]),0)</f>
        <v>33264</v>
      </c>
      <c r="W96">
        <f>VALUE(Table1_2[[#This Row],[Performance Rating22]])</f>
        <v>3</v>
      </c>
    </row>
    <row r="97" spans="1:23" x14ac:dyDescent="0.35">
      <c r="A97" t="s">
        <v>104</v>
      </c>
      <c r="B97" t="s">
        <v>287</v>
      </c>
      <c r="C97">
        <v>1095</v>
      </c>
      <c r="D97" t="s">
        <v>160</v>
      </c>
      <c r="E97" t="s">
        <v>166</v>
      </c>
      <c r="F97" t="s">
        <v>176</v>
      </c>
      <c r="G97" s="13">
        <v>96101</v>
      </c>
      <c r="H97" s="16">
        <v>42673</v>
      </c>
      <c r="J97" t="s">
        <v>179</v>
      </c>
      <c r="K97" t="s">
        <v>254</v>
      </c>
      <c r="L97" s="15">
        <v>96101</v>
      </c>
      <c r="M97" s="16">
        <v>42673</v>
      </c>
      <c r="N97">
        <v>2.5789473684210527</v>
      </c>
      <c r="O97">
        <v>3</v>
      </c>
      <c r="P97" t="s">
        <v>179</v>
      </c>
      <c r="Q97" s="27">
        <v>45990</v>
      </c>
      <c r="R97" s="28">
        <v>45990.548522916666</v>
      </c>
      <c r="S97" s="26">
        <v>2016</v>
      </c>
      <c r="T97" s="26" t="s">
        <v>318</v>
      </c>
      <c r="U97" s="26"/>
      <c r="V97">
        <f>ROUND(VALUE(Table1_2[[#This Row],[Salary2]]),0)</f>
        <v>96101</v>
      </c>
      <c r="W97">
        <f>VALUE(Table1_2[[#This Row],[Performance Rating22]])</f>
        <v>3</v>
      </c>
    </row>
    <row r="98" spans="1:23" x14ac:dyDescent="0.35">
      <c r="A98" t="s">
        <v>105</v>
      </c>
      <c r="B98" t="s">
        <v>287</v>
      </c>
      <c r="C98">
        <v>1096</v>
      </c>
      <c r="D98" t="s">
        <v>162</v>
      </c>
      <c r="E98" t="s">
        <v>166</v>
      </c>
      <c r="F98" t="s">
        <v>173</v>
      </c>
      <c r="G98" s="13">
        <v>72939</v>
      </c>
      <c r="H98" s="16">
        <v>42680</v>
      </c>
      <c r="I98">
        <v>3</v>
      </c>
      <c r="K98" t="s">
        <v>255</v>
      </c>
      <c r="L98" s="15">
        <v>72939</v>
      </c>
      <c r="M98" s="16">
        <v>42680</v>
      </c>
      <c r="N98">
        <v>3</v>
      </c>
      <c r="O98">
        <v>3</v>
      </c>
      <c r="P98" t="s">
        <v>180</v>
      </c>
      <c r="Q98" s="27">
        <v>45990</v>
      </c>
      <c r="R98" s="28">
        <v>45990.548522916666</v>
      </c>
      <c r="S98" s="26">
        <v>2016</v>
      </c>
      <c r="T98" s="26" t="s">
        <v>319</v>
      </c>
      <c r="U98" s="26"/>
      <c r="V98">
        <f>ROUND(VALUE(Table1_2[[#This Row],[Salary2]]),0)</f>
        <v>72939</v>
      </c>
      <c r="W98">
        <f>VALUE(Table1_2[[#This Row],[Performance Rating22]])</f>
        <v>3</v>
      </c>
    </row>
    <row r="99" spans="1:23" x14ac:dyDescent="0.35">
      <c r="A99" t="s">
        <v>106</v>
      </c>
      <c r="B99" t="s">
        <v>287</v>
      </c>
      <c r="C99">
        <v>1097</v>
      </c>
      <c r="D99" t="s">
        <v>163</v>
      </c>
      <c r="E99" t="s">
        <v>167</v>
      </c>
      <c r="F99" t="s">
        <v>172</v>
      </c>
      <c r="G99" s="13">
        <v>89333</v>
      </c>
      <c r="H99" s="16">
        <v>42687</v>
      </c>
      <c r="I99">
        <v>1</v>
      </c>
      <c r="J99" t="s">
        <v>180</v>
      </c>
      <c r="K99" t="s">
        <v>256</v>
      </c>
      <c r="L99" s="15">
        <v>89333</v>
      </c>
      <c r="M99" s="16">
        <v>42687</v>
      </c>
      <c r="N99">
        <v>1</v>
      </c>
      <c r="O99">
        <v>1</v>
      </c>
      <c r="P99" t="s">
        <v>180</v>
      </c>
      <c r="Q99" s="27">
        <v>45990</v>
      </c>
      <c r="R99" s="28">
        <v>45990.548522916666</v>
      </c>
      <c r="S99" s="26">
        <v>2016</v>
      </c>
      <c r="T99" s="26" t="s">
        <v>319</v>
      </c>
      <c r="U99" s="26"/>
      <c r="V99">
        <f>ROUND(VALUE(Table1_2[[#This Row],[Salary2]]),0)</f>
        <v>89333</v>
      </c>
      <c r="W99">
        <f>VALUE(Table1_2[[#This Row],[Performance Rating22]])</f>
        <v>1</v>
      </c>
    </row>
    <row r="100" spans="1:23" x14ac:dyDescent="0.35">
      <c r="A100" t="s">
        <v>107</v>
      </c>
      <c r="B100" t="s">
        <v>287</v>
      </c>
      <c r="C100">
        <v>1098</v>
      </c>
      <c r="D100" t="s">
        <v>165</v>
      </c>
      <c r="E100" t="s">
        <v>169</v>
      </c>
      <c r="F100" t="s">
        <v>176</v>
      </c>
      <c r="G100" s="13">
        <v>70470</v>
      </c>
      <c r="H100" s="16">
        <v>42694</v>
      </c>
      <c r="J100" t="s">
        <v>180</v>
      </c>
      <c r="K100" t="s">
        <v>257</v>
      </c>
      <c r="L100" s="15">
        <v>70470</v>
      </c>
      <c r="M100" s="16">
        <v>42694</v>
      </c>
      <c r="N100">
        <v>2.9444444444444446</v>
      </c>
      <c r="O100">
        <v>3</v>
      </c>
      <c r="P100" t="s">
        <v>180</v>
      </c>
      <c r="Q100" s="27">
        <v>45990</v>
      </c>
      <c r="R100" s="28">
        <v>45990.548522916666</v>
      </c>
      <c r="S100" s="26">
        <v>2016</v>
      </c>
      <c r="T100" s="26" t="s">
        <v>319</v>
      </c>
      <c r="U100" s="26"/>
      <c r="V100">
        <f>ROUND(VALUE(Table1_2[[#This Row],[Salary2]]),0)</f>
        <v>70470</v>
      </c>
      <c r="W100">
        <f>VALUE(Table1_2[[#This Row],[Performance Rating22]])</f>
        <v>3</v>
      </c>
    </row>
    <row r="101" spans="1:23" x14ac:dyDescent="0.35">
      <c r="A101" t="s">
        <v>108</v>
      </c>
      <c r="B101" t="s">
        <v>287</v>
      </c>
      <c r="C101">
        <v>1099</v>
      </c>
      <c r="D101" t="s">
        <v>159</v>
      </c>
      <c r="E101" t="s">
        <v>170</v>
      </c>
      <c r="F101" t="s">
        <v>173</v>
      </c>
      <c r="G101" s="13">
        <v>70096</v>
      </c>
      <c r="H101" s="16">
        <v>42701</v>
      </c>
      <c r="I101">
        <v>4</v>
      </c>
      <c r="J101" t="s">
        <v>180</v>
      </c>
      <c r="K101" t="s">
        <v>258</v>
      </c>
      <c r="L101" s="15">
        <v>70096</v>
      </c>
      <c r="M101" s="16">
        <v>42701</v>
      </c>
      <c r="N101">
        <v>4</v>
      </c>
      <c r="O101">
        <v>4</v>
      </c>
      <c r="P101" t="s">
        <v>180</v>
      </c>
      <c r="Q101" s="27">
        <v>45990</v>
      </c>
      <c r="R101" s="28">
        <v>45990.548522916666</v>
      </c>
      <c r="S101" s="26">
        <v>2016</v>
      </c>
      <c r="T101" s="26" t="s">
        <v>319</v>
      </c>
      <c r="U101" s="26"/>
      <c r="V101">
        <f>ROUND(VALUE(Table1_2[[#This Row],[Salary2]]),0)</f>
        <v>70096</v>
      </c>
      <c r="W101">
        <f>VALUE(Table1_2[[#This Row],[Performance Rating22]])</f>
        <v>4</v>
      </c>
    </row>
    <row r="102" spans="1:23" x14ac:dyDescent="0.35">
      <c r="A102" t="s">
        <v>109</v>
      </c>
      <c r="B102" t="s">
        <v>287</v>
      </c>
      <c r="C102">
        <v>1100</v>
      </c>
      <c r="D102" t="s">
        <v>165</v>
      </c>
      <c r="E102" t="s">
        <v>170</v>
      </c>
      <c r="F102" t="s">
        <v>174</v>
      </c>
      <c r="G102" s="13" t="s">
        <v>177</v>
      </c>
      <c r="H102" s="16">
        <v>42708</v>
      </c>
      <c r="I102">
        <v>2</v>
      </c>
      <c r="J102" t="s">
        <v>179</v>
      </c>
      <c r="K102" t="s">
        <v>259</v>
      </c>
      <c r="L102" s="15">
        <v>65071.98</v>
      </c>
      <c r="M102" s="16">
        <v>42708</v>
      </c>
      <c r="N102">
        <v>2</v>
      </c>
      <c r="O102">
        <v>2</v>
      </c>
      <c r="P102" t="s">
        <v>179</v>
      </c>
      <c r="Q102" s="27">
        <v>45990</v>
      </c>
      <c r="R102" s="28">
        <v>45990.548522916666</v>
      </c>
      <c r="S102" s="26">
        <v>2016</v>
      </c>
      <c r="T102" s="26" t="s">
        <v>320</v>
      </c>
      <c r="U102" s="26"/>
      <c r="V102">
        <f>ROUND(VALUE(Table1_2[[#This Row],[Salary2]]),0)</f>
        <v>65072</v>
      </c>
      <c r="W102">
        <f>VALUE(Table1_2[[#This Row],[Performance Rating22]])</f>
        <v>2</v>
      </c>
    </row>
    <row r="103" spans="1:23" x14ac:dyDescent="0.35">
      <c r="A103" t="s">
        <v>110</v>
      </c>
      <c r="B103" t="s">
        <v>287</v>
      </c>
      <c r="C103">
        <v>1101</v>
      </c>
      <c r="D103" t="s">
        <v>165</v>
      </c>
      <c r="E103" t="s">
        <v>169</v>
      </c>
      <c r="F103" t="s">
        <v>172</v>
      </c>
      <c r="G103" s="13">
        <v>66503</v>
      </c>
      <c r="H103" s="16">
        <v>42715</v>
      </c>
      <c r="J103" t="s">
        <v>180</v>
      </c>
      <c r="K103" t="s">
        <v>200</v>
      </c>
      <c r="L103" s="15">
        <v>66503</v>
      </c>
      <c r="M103" s="16">
        <v>42715</v>
      </c>
      <c r="N103">
        <v>2.9444444444444446</v>
      </c>
      <c r="O103">
        <v>3</v>
      </c>
      <c r="P103" t="s">
        <v>180</v>
      </c>
      <c r="Q103" s="27">
        <v>45990</v>
      </c>
      <c r="R103" s="28">
        <v>45990.548522916666</v>
      </c>
      <c r="S103" s="26">
        <v>2016</v>
      </c>
      <c r="T103" s="26" t="s">
        <v>320</v>
      </c>
      <c r="U103" s="26"/>
      <c r="V103">
        <f>ROUND(VALUE(Table1_2[[#This Row],[Salary2]]),0)</f>
        <v>66503</v>
      </c>
      <c r="W103">
        <f>VALUE(Table1_2[[#This Row],[Performance Rating22]])</f>
        <v>3</v>
      </c>
    </row>
    <row r="104" spans="1:23" x14ac:dyDescent="0.35">
      <c r="A104" t="s">
        <v>111</v>
      </c>
      <c r="B104" t="s">
        <v>287</v>
      </c>
      <c r="C104">
        <v>1102</v>
      </c>
      <c r="D104" t="s">
        <v>160</v>
      </c>
      <c r="E104" t="s">
        <v>167</v>
      </c>
      <c r="F104" t="s">
        <v>172</v>
      </c>
      <c r="G104" s="13">
        <v>42096</v>
      </c>
      <c r="H104" s="16">
        <v>42722</v>
      </c>
      <c r="J104" t="s">
        <v>181</v>
      </c>
      <c r="K104" t="s">
        <v>260</v>
      </c>
      <c r="L104" s="15">
        <v>42096</v>
      </c>
      <c r="M104" s="16">
        <v>42722</v>
      </c>
      <c r="N104">
        <v>2.7</v>
      </c>
      <c r="O104">
        <v>3</v>
      </c>
      <c r="P104" t="s">
        <v>181</v>
      </c>
      <c r="Q104" s="27">
        <v>45990</v>
      </c>
      <c r="R104" s="28">
        <v>45990.548522916666</v>
      </c>
      <c r="S104" s="26">
        <v>2016</v>
      </c>
      <c r="T104" s="26" t="s">
        <v>320</v>
      </c>
      <c r="U104" s="26"/>
      <c r="V104">
        <f>ROUND(VALUE(Table1_2[[#This Row],[Salary2]]),0)</f>
        <v>42096</v>
      </c>
      <c r="W104">
        <f>VALUE(Table1_2[[#This Row],[Performance Rating22]])</f>
        <v>3</v>
      </c>
    </row>
    <row r="105" spans="1:23" x14ac:dyDescent="0.35">
      <c r="A105" t="s">
        <v>112</v>
      </c>
      <c r="B105" t="s">
        <v>287</v>
      </c>
      <c r="C105">
        <v>1103</v>
      </c>
      <c r="D105" t="s">
        <v>160</v>
      </c>
      <c r="E105" t="s">
        <v>170</v>
      </c>
      <c r="F105" t="s">
        <v>174</v>
      </c>
      <c r="G105" s="13">
        <v>79145</v>
      </c>
      <c r="H105" s="16">
        <v>42729</v>
      </c>
      <c r="I105">
        <v>5</v>
      </c>
      <c r="J105" t="s">
        <v>179</v>
      </c>
      <c r="K105" t="s">
        <v>223</v>
      </c>
      <c r="L105" s="15">
        <v>79145</v>
      </c>
      <c r="M105" s="16">
        <v>42729</v>
      </c>
      <c r="N105">
        <v>5</v>
      </c>
      <c r="O105">
        <v>5</v>
      </c>
      <c r="P105" t="s">
        <v>179</v>
      </c>
      <c r="Q105" s="27">
        <v>45990</v>
      </c>
      <c r="R105" s="28">
        <v>45990.548522916666</v>
      </c>
      <c r="S105" s="26">
        <v>2016</v>
      </c>
      <c r="T105" s="26" t="s">
        <v>320</v>
      </c>
      <c r="U105" s="26"/>
      <c r="V105">
        <f>ROUND(VALUE(Table1_2[[#This Row],[Salary2]]),0)</f>
        <v>79145</v>
      </c>
      <c r="W105">
        <f>VALUE(Table1_2[[#This Row],[Performance Rating22]])</f>
        <v>5</v>
      </c>
    </row>
    <row r="106" spans="1:23" x14ac:dyDescent="0.35">
      <c r="A106" t="s">
        <v>113</v>
      </c>
      <c r="B106" t="s">
        <v>287</v>
      </c>
      <c r="C106">
        <v>1104</v>
      </c>
      <c r="D106" t="s">
        <v>162</v>
      </c>
      <c r="E106" t="s">
        <v>170</v>
      </c>
      <c r="F106" t="s">
        <v>176</v>
      </c>
      <c r="G106" s="13">
        <v>61556</v>
      </c>
      <c r="H106" s="16">
        <v>42736</v>
      </c>
      <c r="I106">
        <v>1</v>
      </c>
      <c r="K106" t="s">
        <v>259</v>
      </c>
      <c r="L106" s="15">
        <v>61556</v>
      </c>
      <c r="M106" s="16">
        <v>42736</v>
      </c>
      <c r="N106">
        <v>1</v>
      </c>
      <c r="O106">
        <v>1</v>
      </c>
      <c r="P106" t="s">
        <v>180</v>
      </c>
      <c r="Q106" s="27">
        <v>45990</v>
      </c>
      <c r="R106" s="28">
        <v>45990.548522916666</v>
      </c>
      <c r="S106" s="26">
        <v>2017</v>
      </c>
      <c r="T106" s="26" t="s">
        <v>310</v>
      </c>
      <c r="U106" s="26"/>
      <c r="V106">
        <f>ROUND(VALUE(Table1_2[[#This Row],[Salary2]]),0)</f>
        <v>61556</v>
      </c>
      <c r="W106">
        <f>VALUE(Table1_2[[#This Row],[Performance Rating22]])</f>
        <v>1</v>
      </c>
    </row>
    <row r="107" spans="1:23" x14ac:dyDescent="0.35">
      <c r="A107" t="s">
        <v>114</v>
      </c>
      <c r="B107" t="s">
        <v>287</v>
      </c>
      <c r="C107">
        <v>1105</v>
      </c>
      <c r="D107" t="s">
        <v>178</v>
      </c>
      <c r="E107" t="s">
        <v>167</v>
      </c>
      <c r="F107" t="s">
        <v>175</v>
      </c>
      <c r="G107" s="13">
        <v>87963</v>
      </c>
      <c r="H107" s="16">
        <v>42743</v>
      </c>
      <c r="I107">
        <v>3</v>
      </c>
      <c r="J107" t="s">
        <v>179</v>
      </c>
      <c r="K107" t="s">
        <v>182</v>
      </c>
      <c r="L107" s="15">
        <v>87963</v>
      </c>
      <c r="M107" s="16">
        <v>42743</v>
      </c>
      <c r="N107">
        <v>3</v>
      </c>
      <c r="O107">
        <v>3</v>
      </c>
      <c r="P107" t="s">
        <v>179</v>
      </c>
      <c r="Q107" s="27">
        <v>45990</v>
      </c>
      <c r="R107" s="28">
        <v>45990.548522916666</v>
      </c>
      <c r="S107" s="26">
        <v>2017</v>
      </c>
      <c r="T107" s="26" t="s">
        <v>310</v>
      </c>
      <c r="U107" s="26"/>
      <c r="V107">
        <f>ROUND(VALUE(Table1_2[[#This Row],[Salary2]]),0)</f>
        <v>87963</v>
      </c>
      <c r="W107">
        <f>VALUE(Table1_2[[#This Row],[Performance Rating22]])</f>
        <v>3</v>
      </c>
    </row>
    <row r="108" spans="1:23" x14ac:dyDescent="0.35">
      <c r="A108" t="s">
        <v>115</v>
      </c>
      <c r="B108" t="s">
        <v>287</v>
      </c>
      <c r="C108">
        <v>1106</v>
      </c>
      <c r="D108" t="s">
        <v>159</v>
      </c>
      <c r="E108" t="s">
        <v>169</v>
      </c>
      <c r="F108" t="s">
        <v>174</v>
      </c>
      <c r="G108" s="13">
        <v>48325</v>
      </c>
      <c r="H108" s="16">
        <v>42750</v>
      </c>
      <c r="J108" t="s">
        <v>180</v>
      </c>
      <c r="K108" t="s">
        <v>261</v>
      </c>
      <c r="L108" s="15">
        <v>48325</v>
      </c>
      <c r="M108" s="16">
        <v>42750</v>
      </c>
      <c r="N108">
        <v>2.9444444444444446</v>
      </c>
      <c r="O108">
        <v>3</v>
      </c>
      <c r="P108" t="s">
        <v>180</v>
      </c>
      <c r="Q108" s="27">
        <v>45990</v>
      </c>
      <c r="R108" s="28">
        <v>45990.548522916666</v>
      </c>
      <c r="S108" s="26">
        <v>2017</v>
      </c>
      <c r="T108" s="26" t="s">
        <v>310</v>
      </c>
      <c r="U108" s="26"/>
      <c r="V108">
        <f>ROUND(VALUE(Table1_2[[#This Row],[Salary2]]),0)</f>
        <v>48325</v>
      </c>
      <c r="W108">
        <f>VALUE(Table1_2[[#This Row],[Performance Rating22]])</f>
        <v>3</v>
      </c>
    </row>
    <row r="109" spans="1:23" x14ac:dyDescent="0.35">
      <c r="A109" t="s">
        <v>116</v>
      </c>
      <c r="B109" t="s">
        <v>287</v>
      </c>
      <c r="C109">
        <v>1107</v>
      </c>
      <c r="D109" t="s">
        <v>163</v>
      </c>
      <c r="E109" t="s">
        <v>170</v>
      </c>
      <c r="F109" t="s">
        <v>176</v>
      </c>
      <c r="G109" s="13">
        <v>86412</v>
      </c>
      <c r="H109" s="16">
        <v>42757</v>
      </c>
      <c r="I109">
        <v>2</v>
      </c>
      <c r="J109" t="s">
        <v>181</v>
      </c>
      <c r="K109" t="s">
        <v>202</v>
      </c>
      <c r="L109" s="15">
        <v>86412</v>
      </c>
      <c r="M109" s="16">
        <v>42757</v>
      </c>
      <c r="N109">
        <v>2</v>
      </c>
      <c r="O109">
        <v>2</v>
      </c>
      <c r="P109" t="s">
        <v>181</v>
      </c>
      <c r="Q109" s="27">
        <v>45990</v>
      </c>
      <c r="R109" s="28">
        <v>45990.548522916666</v>
      </c>
      <c r="S109" s="26">
        <v>2017</v>
      </c>
      <c r="T109" s="26" t="s">
        <v>310</v>
      </c>
      <c r="U109" s="26"/>
      <c r="V109">
        <f>ROUND(VALUE(Table1_2[[#This Row],[Salary2]]),0)</f>
        <v>86412</v>
      </c>
      <c r="W109">
        <f>VALUE(Table1_2[[#This Row],[Performance Rating22]])</f>
        <v>2</v>
      </c>
    </row>
    <row r="110" spans="1:23" x14ac:dyDescent="0.35">
      <c r="A110" t="s">
        <v>117</v>
      </c>
      <c r="B110" t="s">
        <v>287</v>
      </c>
      <c r="C110">
        <v>1108</v>
      </c>
      <c r="D110" t="s">
        <v>163</v>
      </c>
      <c r="E110" t="s">
        <v>167</v>
      </c>
      <c r="F110" t="s">
        <v>174</v>
      </c>
      <c r="G110" s="13">
        <v>66761</v>
      </c>
      <c r="H110" s="16">
        <v>42764</v>
      </c>
      <c r="I110">
        <v>1</v>
      </c>
      <c r="K110" t="s">
        <v>262</v>
      </c>
      <c r="L110" s="15">
        <v>66761</v>
      </c>
      <c r="M110" s="16">
        <v>42764</v>
      </c>
      <c r="N110">
        <v>1</v>
      </c>
      <c r="O110">
        <v>1</v>
      </c>
      <c r="P110" t="s">
        <v>180</v>
      </c>
      <c r="Q110" s="27">
        <v>45990</v>
      </c>
      <c r="R110" s="28">
        <v>45990.548522916666</v>
      </c>
      <c r="S110" s="26">
        <v>2017</v>
      </c>
      <c r="T110" s="26" t="s">
        <v>310</v>
      </c>
      <c r="U110" s="26"/>
      <c r="V110">
        <f>ROUND(VALUE(Table1_2[[#This Row],[Salary2]]),0)</f>
        <v>66761</v>
      </c>
      <c r="W110">
        <f>VALUE(Table1_2[[#This Row],[Performance Rating22]])</f>
        <v>1</v>
      </c>
    </row>
    <row r="111" spans="1:23" x14ac:dyDescent="0.35">
      <c r="A111" t="s">
        <v>118</v>
      </c>
      <c r="B111" t="s">
        <v>287</v>
      </c>
      <c r="C111">
        <v>1109</v>
      </c>
      <c r="D111" t="s">
        <v>162</v>
      </c>
      <c r="E111" t="s">
        <v>170</v>
      </c>
      <c r="F111" t="s">
        <v>174</v>
      </c>
      <c r="G111" s="13">
        <v>88850</v>
      </c>
      <c r="H111" s="16">
        <v>42771</v>
      </c>
      <c r="I111">
        <v>1</v>
      </c>
      <c r="J111" t="s">
        <v>181</v>
      </c>
      <c r="K111" t="s">
        <v>263</v>
      </c>
      <c r="L111" s="15">
        <v>88850</v>
      </c>
      <c r="M111" s="16">
        <v>42771</v>
      </c>
      <c r="N111">
        <v>1</v>
      </c>
      <c r="O111">
        <v>1</v>
      </c>
      <c r="P111" t="s">
        <v>181</v>
      </c>
      <c r="Q111" s="27">
        <v>45990</v>
      </c>
      <c r="R111" s="28">
        <v>45990.548522916666</v>
      </c>
      <c r="S111" s="26">
        <v>2017</v>
      </c>
      <c r="T111" s="26" t="s">
        <v>311</v>
      </c>
      <c r="U111" s="26"/>
      <c r="V111">
        <f>ROUND(VALUE(Table1_2[[#This Row],[Salary2]]),0)</f>
        <v>88850</v>
      </c>
      <c r="W111">
        <f>VALUE(Table1_2[[#This Row],[Performance Rating22]])</f>
        <v>1</v>
      </c>
    </row>
    <row r="112" spans="1:23" x14ac:dyDescent="0.35">
      <c r="A112" t="s">
        <v>119</v>
      </c>
      <c r="B112" t="s">
        <v>287</v>
      </c>
      <c r="C112">
        <v>1110</v>
      </c>
      <c r="D112" t="s">
        <v>164</v>
      </c>
      <c r="E112" t="s">
        <v>168</v>
      </c>
      <c r="F112" t="s">
        <v>174</v>
      </c>
      <c r="G112" s="13">
        <v>31293</v>
      </c>
      <c r="H112" s="16"/>
      <c r="I112">
        <v>2</v>
      </c>
      <c r="J112" t="s">
        <v>181</v>
      </c>
      <c r="K112" t="s">
        <v>264</v>
      </c>
      <c r="L112" s="15">
        <v>31293</v>
      </c>
      <c r="M112" s="16">
        <v>42563.041666666664</v>
      </c>
      <c r="N112">
        <v>2</v>
      </c>
      <c r="O112">
        <v>2</v>
      </c>
      <c r="P112" t="s">
        <v>181</v>
      </c>
      <c r="Q112" s="27">
        <v>45990</v>
      </c>
      <c r="R112" s="28">
        <v>45990.548522916666</v>
      </c>
      <c r="S112" s="26">
        <v>2016</v>
      </c>
      <c r="T112" s="26" t="s">
        <v>315</v>
      </c>
      <c r="U112" s="26"/>
      <c r="V112">
        <f>ROUND(VALUE(Table1_2[[#This Row],[Salary2]]),0)</f>
        <v>31293</v>
      </c>
      <c r="W112">
        <f>VALUE(Table1_2[[#This Row],[Performance Rating22]])</f>
        <v>2</v>
      </c>
    </row>
    <row r="113" spans="1:23" x14ac:dyDescent="0.35">
      <c r="A113" t="s">
        <v>120</v>
      </c>
      <c r="B113" t="s">
        <v>287</v>
      </c>
      <c r="C113">
        <v>1111</v>
      </c>
      <c r="D113" t="s">
        <v>164</v>
      </c>
      <c r="E113" t="s">
        <v>169</v>
      </c>
      <c r="F113" t="s">
        <v>173</v>
      </c>
      <c r="G113" s="13">
        <v>34306</v>
      </c>
      <c r="H113" s="16">
        <v>42785</v>
      </c>
      <c r="I113">
        <v>5</v>
      </c>
      <c r="J113" t="s">
        <v>181</v>
      </c>
      <c r="K113" t="s">
        <v>239</v>
      </c>
      <c r="L113" s="15">
        <v>34306</v>
      </c>
      <c r="M113" s="16">
        <v>42785</v>
      </c>
      <c r="N113">
        <v>5</v>
      </c>
      <c r="O113">
        <v>5</v>
      </c>
      <c r="P113" t="s">
        <v>181</v>
      </c>
      <c r="Q113" s="27">
        <v>45990</v>
      </c>
      <c r="R113" s="28">
        <v>45990.548522916666</v>
      </c>
      <c r="S113" s="26">
        <v>2017</v>
      </c>
      <c r="T113" s="26" t="s">
        <v>311</v>
      </c>
      <c r="U113" s="26"/>
      <c r="V113">
        <f>ROUND(VALUE(Table1_2[[#This Row],[Salary2]]),0)</f>
        <v>34306</v>
      </c>
      <c r="W113">
        <f>VALUE(Table1_2[[#This Row],[Performance Rating22]])</f>
        <v>5</v>
      </c>
    </row>
    <row r="114" spans="1:23" x14ac:dyDescent="0.35">
      <c r="A114" t="s">
        <v>121</v>
      </c>
      <c r="B114" t="s">
        <v>287</v>
      </c>
      <c r="C114">
        <v>1112</v>
      </c>
      <c r="D114" t="s">
        <v>159</v>
      </c>
      <c r="E114" t="s">
        <v>166</v>
      </c>
      <c r="F114" t="s">
        <v>174</v>
      </c>
      <c r="G114" s="13">
        <v>78330</v>
      </c>
      <c r="H114" s="16">
        <v>42792</v>
      </c>
      <c r="J114" t="s">
        <v>179</v>
      </c>
      <c r="K114" t="s">
        <v>258</v>
      </c>
      <c r="L114" s="15">
        <v>78330</v>
      </c>
      <c r="M114" s="16">
        <v>42792</v>
      </c>
      <c r="N114">
        <v>2.5789473684210527</v>
      </c>
      <c r="O114">
        <v>3</v>
      </c>
      <c r="P114" t="s">
        <v>179</v>
      </c>
      <c r="Q114" s="27">
        <v>45990</v>
      </c>
      <c r="R114" s="28">
        <v>45990.548522916666</v>
      </c>
      <c r="S114" s="26">
        <v>2017</v>
      </c>
      <c r="T114" s="26" t="s">
        <v>311</v>
      </c>
      <c r="U114" s="26"/>
      <c r="V114">
        <f>ROUND(VALUE(Table1_2[[#This Row],[Salary2]]),0)</f>
        <v>78330</v>
      </c>
      <c r="W114">
        <f>VALUE(Table1_2[[#This Row],[Performance Rating22]])</f>
        <v>3</v>
      </c>
    </row>
    <row r="115" spans="1:23" x14ac:dyDescent="0.35">
      <c r="A115" t="s">
        <v>122</v>
      </c>
      <c r="B115" t="s">
        <v>287</v>
      </c>
      <c r="C115">
        <v>1113</v>
      </c>
      <c r="D115" t="s">
        <v>160</v>
      </c>
      <c r="E115" t="s">
        <v>169</v>
      </c>
      <c r="F115" t="s">
        <v>173</v>
      </c>
      <c r="G115" s="13">
        <v>47653</v>
      </c>
      <c r="H115" s="16">
        <v>42799</v>
      </c>
      <c r="I115">
        <v>1</v>
      </c>
      <c r="J115" t="s">
        <v>180</v>
      </c>
      <c r="K115" t="s">
        <v>265</v>
      </c>
      <c r="L115" s="15">
        <v>47653</v>
      </c>
      <c r="M115" s="16">
        <v>42799</v>
      </c>
      <c r="N115">
        <v>1</v>
      </c>
      <c r="O115">
        <v>1</v>
      </c>
      <c r="P115" t="s">
        <v>180</v>
      </c>
      <c r="Q115" s="27">
        <v>45990</v>
      </c>
      <c r="R115" s="28">
        <v>45990.548522916666</v>
      </c>
      <c r="S115" s="26">
        <v>2017</v>
      </c>
      <c r="T115" s="26" t="s">
        <v>309</v>
      </c>
      <c r="U115" s="26"/>
      <c r="V115">
        <f>ROUND(VALUE(Table1_2[[#This Row],[Salary2]]),0)</f>
        <v>47653</v>
      </c>
      <c r="W115">
        <f>VALUE(Table1_2[[#This Row],[Performance Rating22]])</f>
        <v>1</v>
      </c>
    </row>
    <row r="116" spans="1:23" x14ac:dyDescent="0.35">
      <c r="A116" t="s">
        <v>123</v>
      </c>
      <c r="B116" t="s">
        <v>287</v>
      </c>
      <c r="C116">
        <v>1114</v>
      </c>
      <c r="D116" t="s">
        <v>159</v>
      </c>
      <c r="E116" t="s">
        <v>170</v>
      </c>
      <c r="F116" t="s">
        <v>175</v>
      </c>
      <c r="G116" s="13">
        <v>44627</v>
      </c>
      <c r="H116" s="16">
        <v>42806</v>
      </c>
      <c r="I116">
        <v>4</v>
      </c>
      <c r="K116" t="s">
        <v>235</v>
      </c>
      <c r="L116" s="15">
        <v>44627</v>
      </c>
      <c r="M116" s="16">
        <v>42806</v>
      </c>
      <c r="N116">
        <v>4</v>
      </c>
      <c r="O116">
        <v>4</v>
      </c>
      <c r="P116" t="s">
        <v>180</v>
      </c>
      <c r="Q116" s="27">
        <v>45990</v>
      </c>
      <c r="R116" s="28">
        <v>45990.548522916666</v>
      </c>
      <c r="S116" s="26">
        <v>2017</v>
      </c>
      <c r="T116" s="26" t="s">
        <v>309</v>
      </c>
      <c r="U116" s="26"/>
      <c r="V116">
        <f>ROUND(VALUE(Table1_2[[#This Row],[Salary2]]),0)</f>
        <v>44627</v>
      </c>
      <c r="W116">
        <f>VALUE(Table1_2[[#This Row],[Performance Rating22]])</f>
        <v>4</v>
      </c>
    </row>
    <row r="117" spans="1:23" x14ac:dyDescent="0.35">
      <c r="A117" t="s">
        <v>124</v>
      </c>
      <c r="B117" t="s">
        <v>287</v>
      </c>
      <c r="C117">
        <v>1115</v>
      </c>
      <c r="D117" t="s">
        <v>165</v>
      </c>
      <c r="E117" t="s">
        <v>167</v>
      </c>
      <c r="F117" t="s">
        <v>172</v>
      </c>
      <c r="G117" s="13">
        <v>92343</v>
      </c>
      <c r="H117" s="16">
        <v>42813</v>
      </c>
      <c r="I117">
        <v>4</v>
      </c>
      <c r="J117" t="s">
        <v>181</v>
      </c>
      <c r="K117" t="s">
        <v>203</v>
      </c>
      <c r="L117" s="15">
        <v>92343</v>
      </c>
      <c r="M117" s="16">
        <v>42813</v>
      </c>
      <c r="N117">
        <v>4</v>
      </c>
      <c r="O117">
        <v>4</v>
      </c>
      <c r="P117" t="s">
        <v>181</v>
      </c>
      <c r="Q117" s="27">
        <v>45990</v>
      </c>
      <c r="R117" s="28">
        <v>45990.548522916666</v>
      </c>
      <c r="S117" s="26">
        <v>2017</v>
      </c>
      <c r="T117" s="26" t="s">
        <v>309</v>
      </c>
      <c r="U117" s="26"/>
      <c r="V117">
        <f>ROUND(VALUE(Table1_2[[#This Row],[Salary2]]),0)</f>
        <v>92343</v>
      </c>
      <c r="W117">
        <f>VALUE(Table1_2[[#This Row],[Performance Rating22]])</f>
        <v>4</v>
      </c>
    </row>
    <row r="118" spans="1:23" x14ac:dyDescent="0.35">
      <c r="A118" t="s">
        <v>125</v>
      </c>
      <c r="B118" t="s">
        <v>287</v>
      </c>
      <c r="C118">
        <v>1116</v>
      </c>
      <c r="D118" t="s">
        <v>165</v>
      </c>
      <c r="E118" t="s">
        <v>170</v>
      </c>
      <c r="F118" t="s">
        <v>176</v>
      </c>
      <c r="G118" s="13">
        <v>38837</v>
      </c>
      <c r="H118" s="16">
        <v>42820</v>
      </c>
      <c r="I118">
        <v>5</v>
      </c>
      <c r="J118" t="s">
        <v>181</v>
      </c>
      <c r="K118" t="s">
        <v>239</v>
      </c>
      <c r="L118" s="15">
        <v>38837</v>
      </c>
      <c r="M118" s="16">
        <v>42820</v>
      </c>
      <c r="N118">
        <v>5</v>
      </c>
      <c r="O118">
        <v>5</v>
      </c>
      <c r="P118" t="s">
        <v>181</v>
      </c>
      <c r="Q118" s="27">
        <v>45990</v>
      </c>
      <c r="R118" s="28">
        <v>45990.548522916666</v>
      </c>
      <c r="S118" s="26">
        <v>2017</v>
      </c>
      <c r="T118" s="26" t="s">
        <v>309</v>
      </c>
      <c r="U118" s="26"/>
      <c r="V118">
        <f>ROUND(VALUE(Table1_2[[#This Row],[Salary2]]),0)</f>
        <v>38837</v>
      </c>
      <c r="W118">
        <f>VALUE(Table1_2[[#This Row],[Performance Rating22]])</f>
        <v>5</v>
      </c>
    </row>
    <row r="119" spans="1:23" x14ac:dyDescent="0.35">
      <c r="A119" t="s">
        <v>126</v>
      </c>
      <c r="B119" t="s">
        <v>287</v>
      </c>
      <c r="C119">
        <v>1117</v>
      </c>
      <c r="D119" t="s">
        <v>165</v>
      </c>
      <c r="E119" t="s">
        <v>170</v>
      </c>
      <c r="F119" t="s">
        <v>174</v>
      </c>
      <c r="G119" s="13">
        <v>73483</v>
      </c>
      <c r="H119" s="16">
        <v>42827</v>
      </c>
      <c r="I119">
        <v>1</v>
      </c>
      <c r="K119" t="s">
        <v>266</v>
      </c>
      <c r="L119" s="15">
        <v>73483</v>
      </c>
      <c r="M119" s="16">
        <v>42827</v>
      </c>
      <c r="N119">
        <v>1</v>
      </c>
      <c r="O119">
        <v>1</v>
      </c>
      <c r="P119" t="s">
        <v>180</v>
      </c>
      <c r="Q119" s="27">
        <v>45990</v>
      </c>
      <c r="R119" s="28">
        <v>45990.548522916666</v>
      </c>
      <c r="S119" s="26">
        <v>2017</v>
      </c>
      <c r="T119" s="26" t="s">
        <v>312</v>
      </c>
      <c r="U119" s="26"/>
      <c r="V119">
        <f>ROUND(VALUE(Table1_2[[#This Row],[Salary2]]),0)</f>
        <v>73483</v>
      </c>
      <c r="W119">
        <f>VALUE(Table1_2[[#This Row],[Performance Rating22]])</f>
        <v>1</v>
      </c>
    </row>
    <row r="120" spans="1:23" x14ac:dyDescent="0.35">
      <c r="A120" t="s">
        <v>127</v>
      </c>
      <c r="B120" t="s">
        <v>287</v>
      </c>
      <c r="C120">
        <v>1118</v>
      </c>
      <c r="D120" t="s">
        <v>164</v>
      </c>
      <c r="E120" t="s">
        <v>168</v>
      </c>
      <c r="F120" t="s">
        <v>174</v>
      </c>
      <c r="G120" s="13">
        <v>95032</v>
      </c>
      <c r="H120" s="16">
        <v>42834</v>
      </c>
      <c r="I120">
        <v>3</v>
      </c>
      <c r="K120" t="s">
        <v>267</v>
      </c>
      <c r="L120" s="15">
        <v>95032</v>
      </c>
      <c r="M120" s="16">
        <v>42834</v>
      </c>
      <c r="N120">
        <v>3</v>
      </c>
      <c r="O120">
        <v>3</v>
      </c>
      <c r="P120" t="s">
        <v>180</v>
      </c>
      <c r="Q120" s="27">
        <v>45990</v>
      </c>
      <c r="R120" s="28">
        <v>45990.548522916666</v>
      </c>
      <c r="S120" s="26">
        <v>2017</v>
      </c>
      <c r="T120" s="26" t="s">
        <v>312</v>
      </c>
      <c r="U120" s="26"/>
      <c r="V120">
        <f>ROUND(VALUE(Table1_2[[#This Row],[Salary2]]),0)</f>
        <v>95032</v>
      </c>
      <c r="W120">
        <f>VALUE(Table1_2[[#This Row],[Performance Rating22]])</f>
        <v>3</v>
      </c>
    </row>
    <row r="121" spans="1:23" x14ac:dyDescent="0.35">
      <c r="A121" t="s">
        <v>128</v>
      </c>
      <c r="B121" t="s">
        <v>287</v>
      </c>
      <c r="C121">
        <v>1119</v>
      </c>
      <c r="D121" t="s">
        <v>159</v>
      </c>
      <c r="E121" t="s">
        <v>168</v>
      </c>
      <c r="F121" t="s">
        <v>176</v>
      </c>
      <c r="G121" s="13">
        <v>44358</v>
      </c>
      <c r="H121" s="16">
        <v>42841</v>
      </c>
      <c r="J121" t="s">
        <v>181</v>
      </c>
      <c r="K121" t="s">
        <v>200</v>
      </c>
      <c r="L121" s="15">
        <v>44358</v>
      </c>
      <c r="M121" s="16">
        <v>42841</v>
      </c>
      <c r="N121">
        <v>2.7272727272727271</v>
      </c>
      <c r="O121">
        <v>3</v>
      </c>
      <c r="P121" t="s">
        <v>181</v>
      </c>
      <c r="Q121" s="27">
        <v>45990</v>
      </c>
      <c r="R121" s="28">
        <v>45990.548522916666</v>
      </c>
      <c r="S121" s="26">
        <v>2017</v>
      </c>
      <c r="T121" s="26" t="s">
        <v>312</v>
      </c>
      <c r="U121" s="26"/>
      <c r="V121">
        <f>ROUND(VALUE(Table1_2[[#This Row],[Salary2]]),0)</f>
        <v>44358</v>
      </c>
      <c r="W121">
        <f>VALUE(Table1_2[[#This Row],[Performance Rating22]])</f>
        <v>3</v>
      </c>
    </row>
    <row r="122" spans="1:23" x14ac:dyDescent="0.35">
      <c r="A122" t="s">
        <v>129</v>
      </c>
      <c r="B122" t="s">
        <v>287</v>
      </c>
      <c r="C122">
        <v>1120</v>
      </c>
      <c r="D122" t="s">
        <v>178</v>
      </c>
      <c r="E122" t="s">
        <v>169</v>
      </c>
      <c r="F122" t="s">
        <v>173</v>
      </c>
      <c r="G122" s="13" t="s">
        <v>177</v>
      </c>
      <c r="H122" s="16"/>
      <c r="I122">
        <v>5</v>
      </c>
      <c r="J122" t="s">
        <v>178</v>
      </c>
      <c r="K122" t="s">
        <v>268</v>
      </c>
      <c r="L122" s="15">
        <v>66157.5</v>
      </c>
      <c r="M122" s="16">
        <v>42521.333333333336</v>
      </c>
      <c r="N122">
        <v>5</v>
      </c>
      <c r="O122">
        <v>5</v>
      </c>
      <c r="P122" t="s">
        <v>178</v>
      </c>
      <c r="Q122" s="27">
        <v>45990</v>
      </c>
      <c r="R122" s="28">
        <v>45990.548522916666</v>
      </c>
      <c r="S122" s="26">
        <v>2016</v>
      </c>
      <c r="T122" s="26" t="s">
        <v>313</v>
      </c>
      <c r="U122" s="26"/>
      <c r="V122">
        <f>ROUND(VALUE(Table1_2[[#This Row],[Salary2]]),0)</f>
        <v>66158</v>
      </c>
      <c r="W122">
        <f>VALUE(Table1_2[[#This Row],[Performance Rating22]])</f>
        <v>5</v>
      </c>
    </row>
    <row r="123" spans="1:23" x14ac:dyDescent="0.35">
      <c r="A123" t="s">
        <v>130</v>
      </c>
      <c r="B123" t="s">
        <v>287</v>
      </c>
      <c r="C123">
        <v>1121</v>
      </c>
      <c r="D123" t="s">
        <v>164</v>
      </c>
      <c r="E123" t="s">
        <v>168</v>
      </c>
      <c r="F123" t="s">
        <v>173</v>
      </c>
      <c r="G123" s="13">
        <v>45676</v>
      </c>
      <c r="H123" s="16">
        <v>42855</v>
      </c>
      <c r="I123">
        <v>2</v>
      </c>
      <c r="K123" t="s">
        <v>269</v>
      </c>
      <c r="L123" s="15">
        <v>45676</v>
      </c>
      <c r="M123" s="16">
        <v>42855</v>
      </c>
      <c r="N123">
        <v>2</v>
      </c>
      <c r="O123">
        <v>2</v>
      </c>
      <c r="P123" t="s">
        <v>180</v>
      </c>
      <c r="Q123" s="27">
        <v>45990</v>
      </c>
      <c r="R123" s="28">
        <v>45990.548522916666</v>
      </c>
      <c r="S123" s="26">
        <v>2017</v>
      </c>
      <c r="T123" s="26" t="s">
        <v>312</v>
      </c>
      <c r="U123" s="26"/>
      <c r="V123">
        <f>ROUND(VALUE(Table1_2[[#This Row],[Salary2]]),0)</f>
        <v>45676</v>
      </c>
      <c r="W123">
        <f>VALUE(Table1_2[[#This Row],[Performance Rating22]])</f>
        <v>2</v>
      </c>
    </row>
    <row r="124" spans="1:23" x14ac:dyDescent="0.35">
      <c r="A124" t="s">
        <v>131</v>
      </c>
      <c r="B124" t="s">
        <v>287</v>
      </c>
      <c r="C124">
        <v>1122</v>
      </c>
      <c r="D124" t="s">
        <v>165</v>
      </c>
      <c r="E124" t="s">
        <v>168</v>
      </c>
      <c r="F124" t="s">
        <v>172</v>
      </c>
      <c r="G124" s="13">
        <v>52036</v>
      </c>
      <c r="H124" s="16">
        <v>42862</v>
      </c>
      <c r="I124">
        <v>3</v>
      </c>
      <c r="J124" t="s">
        <v>180</v>
      </c>
      <c r="K124" t="s">
        <v>270</v>
      </c>
      <c r="L124" s="15">
        <v>52036</v>
      </c>
      <c r="M124" s="16">
        <v>42862</v>
      </c>
      <c r="N124">
        <v>3</v>
      </c>
      <c r="O124">
        <v>3</v>
      </c>
      <c r="P124" t="s">
        <v>180</v>
      </c>
      <c r="Q124" s="27">
        <v>45990</v>
      </c>
      <c r="R124" s="28">
        <v>45990.548522916666</v>
      </c>
      <c r="S124" s="26">
        <v>2017</v>
      </c>
      <c r="T124" s="26" t="s">
        <v>313</v>
      </c>
      <c r="U124" s="26"/>
      <c r="V124">
        <f>ROUND(VALUE(Table1_2[[#This Row],[Salary2]]),0)</f>
        <v>52036</v>
      </c>
      <c r="W124">
        <f>VALUE(Table1_2[[#This Row],[Performance Rating22]])</f>
        <v>3</v>
      </c>
    </row>
    <row r="125" spans="1:23" x14ac:dyDescent="0.35">
      <c r="A125" t="s">
        <v>132</v>
      </c>
      <c r="B125" t="s">
        <v>287</v>
      </c>
      <c r="C125">
        <v>1123</v>
      </c>
      <c r="D125" t="s">
        <v>162</v>
      </c>
      <c r="E125" t="s">
        <v>170</v>
      </c>
      <c r="F125" t="s">
        <v>172</v>
      </c>
      <c r="G125" s="13">
        <v>30357</v>
      </c>
      <c r="H125" s="16">
        <v>42869</v>
      </c>
      <c r="I125">
        <v>5</v>
      </c>
      <c r="J125" t="s">
        <v>180</v>
      </c>
      <c r="K125" t="s">
        <v>248</v>
      </c>
      <c r="L125" s="15">
        <v>30357</v>
      </c>
      <c r="M125" s="16">
        <v>42869</v>
      </c>
      <c r="N125">
        <v>5</v>
      </c>
      <c r="O125">
        <v>5</v>
      </c>
      <c r="P125" t="s">
        <v>180</v>
      </c>
      <c r="Q125" s="27">
        <v>45990</v>
      </c>
      <c r="R125" s="28">
        <v>45990.548522916666</v>
      </c>
      <c r="S125" s="26">
        <v>2017</v>
      </c>
      <c r="T125" s="26" t="s">
        <v>313</v>
      </c>
      <c r="U125" s="26"/>
      <c r="V125">
        <f>ROUND(VALUE(Table1_2[[#This Row],[Salary2]]),0)</f>
        <v>30357</v>
      </c>
      <c r="W125">
        <f>VALUE(Table1_2[[#This Row],[Performance Rating22]])</f>
        <v>5</v>
      </c>
    </row>
    <row r="126" spans="1:23" x14ac:dyDescent="0.35">
      <c r="A126" t="s">
        <v>133</v>
      </c>
      <c r="B126" t="s">
        <v>287</v>
      </c>
      <c r="C126">
        <v>1124</v>
      </c>
      <c r="D126" t="s">
        <v>161</v>
      </c>
      <c r="E126" t="s">
        <v>169</v>
      </c>
      <c r="F126" t="s">
        <v>174</v>
      </c>
      <c r="G126" s="13">
        <v>60034</v>
      </c>
      <c r="H126" s="16">
        <v>42876</v>
      </c>
      <c r="I126">
        <v>1</v>
      </c>
      <c r="J126" t="s">
        <v>181</v>
      </c>
      <c r="K126" t="s">
        <v>271</v>
      </c>
      <c r="L126" s="15">
        <v>60034</v>
      </c>
      <c r="M126" s="16">
        <v>42876</v>
      </c>
      <c r="N126">
        <v>1</v>
      </c>
      <c r="O126">
        <v>1</v>
      </c>
      <c r="P126" t="s">
        <v>181</v>
      </c>
      <c r="Q126" s="27">
        <v>45990</v>
      </c>
      <c r="R126" s="28">
        <v>45990.548522916666</v>
      </c>
      <c r="S126" s="26">
        <v>2017</v>
      </c>
      <c r="T126" s="26" t="s">
        <v>313</v>
      </c>
      <c r="U126" s="26"/>
      <c r="V126">
        <f>ROUND(VALUE(Table1_2[[#This Row],[Salary2]]),0)</f>
        <v>60034</v>
      </c>
      <c r="W126">
        <f>VALUE(Table1_2[[#This Row],[Performance Rating22]])</f>
        <v>1</v>
      </c>
    </row>
    <row r="127" spans="1:23" x14ac:dyDescent="0.35">
      <c r="A127" t="s">
        <v>134</v>
      </c>
      <c r="B127" t="s">
        <v>287</v>
      </c>
      <c r="C127">
        <v>1125</v>
      </c>
      <c r="D127" t="s">
        <v>161</v>
      </c>
      <c r="E127" t="s">
        <v>166</v>
      </c>
      <c r="F127" t="s">
        <v>174</v>
      </c>
      <c r="G127" s="13">
        <v>90019</v>
      </c>
      <c r="H127" s="16">
        <v>42883</v>
      </c>
      <c r="I127">
        <v>5</v>
      </c>
      <c r="K127" t="s">
        <v>272</v>
      </c>
      <c r="L127" s="15">
        <v>90019</v>
      </c>
      <c r="M127" s="16">
        <v>42883</v>
      </c>
      <c r="N127">
        <v>5</v>
      </c>
      <c r="O127">
        <v>5</v>
      </c>
      <c r="P127" t="s">
        <v>180</v>
      </c>
      <c r="Q127" s="27">
        <v>45990</v>
      </c>
      <c r="R127" s="28">
        <v>45990.548522916666</v>
      </c>
      <c r="S127" s="26">
        <v>2017</v>
      </c>
      <c r="T127" s="26" t="s">
        <v>313</v>
      </c>
      <c r="U127" s="26"/>
      <c r="V127">
        <f>ROUND(VALUE(Table1_2[[#This Row],[Salary2]]),0)</f>
        <v>90019</v>
      </c>
      <c r="W127">
        <f>VALUE(Table1_2[[#This Row],[Performance Rating22]])</f>
        <v>5</v>
      </c>
    </row>
    <row r="128" spans="1:23" x14ac:dyDescent="0.35">
      <c r="A128" t="s">
        <v>135</v>
      </c>
      <c r="B128" t="s">
        <v>287</v>
      </c>
      <c r="C128">
        <v>1126</v>
      </c>
      <c r="D128" t="s">
        <v>165</v>
      </c>
      <c r="E128" t="s">
        <v>170</v>
      </c>
      <c r="F128" t="s">
        <v>172</v>
      </c>
      <c r="G128" s="13">
        <v>71494</v>
      </c>
      <c r="H128" s="16">
        <v>42890</v>
      </c>
      <c r="I128">
        <v>3</v>
      </c>
      <c r="J128" t="s">
        <v>180</v>
      </c>
      <c r="K128" t="s">
        <v>273</v>
      </c>
      <c r="L128" s="15">
        <v>71494</v>
      </c>
      <c r="M128" s="16">
        <v>42890</v>
      </c>
      <c r="N128">
        <v>3</v>
      </c>
      <c r="O128">
        <v>3</v>
      </c>
      <c r="P128" t="s">
        <v>180</v>
      </c>
      <c r="Q128" s="27">
        <v>45990</v>
      </c>
      <c r="R128" s="28">
        <v>45990.548522916666</v>
      </c>
      <c r="S128" s="26">
        <v>2017</v>
      </c>
      <c r="T128" s="26" t="s">
        <v>314</v>
      </c>
      <c r="U128" s="26"/>
      <c r="V128">
        <f>ROUND(VALUE(Table1_2[[#This Row],[Salary2]]),0)</f>
        <v>71494</v>
      </c>
      <c r="W128">
        <f>VALUE(Table1_2[[#This Row],[Performance Rating22]])</f>
        <v>3</v>
      </c>
    </row>
    <row r="129" spans="1:23" x14ac:dyDescent="0.35">
      <c r="A129" t="s">
        <v>136</v>
      </c>
      <c r="B129" t="s">
        <v>287</v>
      </c>
      <c r="C129">
        <v>1127</v>
      </c>
      <c r="D129" t="s">
        <v>161</v>
      </c>
      <c r="E129" t="s">
        <v>166</v>
      </c>
      <c r="F129" t="s">
        <v>173</v>
      </c>
      <c r="G129" s="13">
        <v>91953</v>
      </c>
      <c r="H129" s="16">
        <v>42897</v>
      </c>
      <c r="I129">
        <v>2</v>
      </c>
      <c r="J129" t="s">
        <v>180</v>
      </c>
      <c r="K129" t="s">
        <v>209</v>
      </c>
      <c r="L129" s="15">
        <v>91953</v>
      </c>
      <c r="M129" s="16">
        <v>42897</v>
      </c>
      <c r="N129">
        <v>2</v>
      </c>
      <c r="O129">
        <v>2</v>
      </c>
      <c r="P129" t="s">
        <v>180</v>
      </c>
      <c r="Q129" s="27">
        <v>45990</v>
      </c>
      <c r="R129" s="28">
        <v>45990.548522916666</v>
      </c>
      <c r="S129" s="26">
        <v>2017</v>
      </c>
      <c r="T129" s="26" t="s">
        <v>314</v>
      </c>
      <c r="U129" s="26"/>
      <c r="V129">
        <f>ROUND(VALUE(Table1_2[[#This Row],[Salary2]]),0)</f>
        <v>91953</v>
      </c>
      <c r="W129">
        <f>VALUE(Table1_2[[#This Row],[Performance Rating22]])</f>
        <v>2</v>
      </c>
    </row>
    <row r="130" spans="1:23" x14ac:dyDescent="0.35">
      <c r="A130" t="s">
        <v>137</v>
      </c>
      <c r="B130" t="s">
        <v>287</v>
      </c>
      <c r="C130">
        <v>1128</v>
      </c>
      <c r="D130" t="s">
        <v>164</v>
      </c>
      <c r="E130" t="s">
        <v>168</v>
      </c>
      <c r="F130" t="s">
        <v>173</v>
      </c>
      <c r="G130" s="13">
        <v>30402</v>
      </c>
      <c r="H130" s="16">
        <v>42904</v>
      </c>
      <c r="I130">
        <v>1</v>
      </c>
      <c r="K130" t="s">
        <v>274</v>
      </c>
      <c r="L130" s="15">
        <v>30402</v>
      </c>
      <c r="M130" s="16">
        <v>42904</v>
      </c>
      <c r="N130">
        <v>1</v>
      </c>
      <c r="O130">
        <v>1</v>
      </c>
      <c r="P130" t="s">
        <v>180</v>
      </c>
      <c r="Q130" s="27">
        <v>45990</v>
      </c>
      <c r="R130" s="28">
        <v>45990.548522916666</v>
      </c>
      <c r="S130" s="26">
        <v>2017</v>
      </c>
      <c r="T130" s="26" t="s">
        <v>314</v>
      </c>
      <c r="U130" s="26"/>
      <c r="V130">
        <f>ROUND(VALUE(Table1_2[[#This Row],[Salary2]]),0)</f>
        <v>30402</v>
      </c>
      <c r="W130">
        <f>VALUE(Table1_2[[#This Row],[Performance Rating22]])</f>
        <v>1</v>
      </c>
    </row>
    <row r="131" spans="1:23" x14ac:dyDescent="0.35">
      <c r="A131" t="s">
        <v>138</v>
      </c>
      <c r="B131" t="s">
        <v>287</v>
      </c>
      <c r="C131">
        <v>1129</v>
      </c>
      <c r="D131" t="s">
        <v>165</v>
      </c>
      <c r="E131" t="s">
        <v>170</v>
      </c>
      <c r="F131" t="s">
        <v>175</v>
      </c>
      <c r="G131" s="13">
        <v>62994</v>
      </c>
      <c r="H131" s="16">
        <v>42911</v>
      </c>
      <c r="K131" t="s">
        <v>221</v>
      </c>
      <c r="L131" s="15">
        <v>62994</v>
      </c>
      <c r="M131" s="16">
        <v>42911</v>
      </c>
      <c r="N131">
        <v>3.1086956521739131</v>
      </c>
      <c r="O131">
        <v>3</v>
      </c>
      <c r="P131" t="s">
        <v>180</v>
      </c>
      <c r="Q131" s="27">
        <v>45990</v>
      </c>
      <c r="R131" s="28">
        <v>45990.548522916666</v>
      </c>
      <c r="S131" s="26">
        <v>2017</v>
      </c>
      <c r="T131" s="26" t="s">
        <v>314</v>
      </c>
      <c r="U131" s="26"/>
      <c r="V131">
        <f>ROUND(VALUE(Table1_2[[#This Row],[Salary2]]),0)</f>
        <v>62994</v>
      </c>
      <c r="W131">
        <f>VALUE(Table1_2[[#This Row],[Performance Rating22]])</f>
        <v>3</v>
      </c>
    </row>
    <row r="132" spans="1:23" x14ac:dyDescent="0.35">
      <c r="A132" t="s">
        <v>139</v>
      </c>
      <c r="B132" t="s">
        <v>287</v>
      </c>
      <c r="C132">
        <v>1130</v>
      </c>
      <c r="D132" t="s">
        <v>160</v>
      </c>
      <c r="E132" t="s">
        <v>168</v>
      </c>
      <c r="F132" t="s">
        <v>174</v>
      </c>
      <c r="G132" s="13">
        <v>48289</v>
      </c>
      <c r="H132" s="16"/>
      <c r="I132">
        <v>3</v>
      </c>
      <c r="J132" t="s">
        <v>180</v>
      </c>
      <c r="K132" t="s">
        <v>189</v>
      </c>
      <c r="L132" s="15">
        <v>48289</v>
      </c>
      <c r="M132" s="16">
        <v>42563.041666666664</v>
      </c>
      <c r="N132">
        <v>3</v>
      </c>
      <c r="O132">
        <v>3</v>
      </c>
      <c r="P132" t="s">
        <v>180</v>
      </c>
      <c r="Q132" s="27">
        <v>45990</v>
      </c>
      <c r="R132" s="28">
        <v>45990.548522916666</v>
      </c>
      <c r="S132" s="26">
        <v>2016</v>
      </c>
      <c r="T132" s="26" t="s">
        <v>315</v>
      </c>
      <c r="U132" s="26"/>
      <c r="V132">
        <f>ROUND(VALUE(Table1_2[[#This Row],[Salary2]]),0)</f>
        <v>48289</v>
      </c>
      <c r="W132">
        <f>VALUE(Table1_2[[#This Row],[Performance Rating22]])</f>
        <v>3</v>
      </c>
    </row>
    <row r="133" spans="1:23" x14ac:dyDescent="0.35">
      <c r="A133" t="s">
        <v>140</v>
      </c>
      <c r="B133" t="s">
        <v>287</v>
      </c>
      <c r="C133">
        <v>1131</v>
      </c>
      <c r="D133" t="s">
        <v>163</v>
      </c>
      <c r="E133" t="s">
        <v>170</v>
      </c>
      <c r="F133" t="s">
        <v>172</v>
      </c>
      <c r="G133" s="13">
        <v>34402</v>
      </c>
      <c r="H133" s="16">
        <v>42925</v>
      </c>
      <c r="I133">
        <v>3</v>
      </c>
      <c r="J133" t="s">
        <v>179</v>
      </c>
      <c r="K133" t="s">
        <v>218</v>
      </c>
      <c r="L133" s="15">
        <v>34402</v>
      </c>
      <c r="M133" s="16">
        <v>42925</v>
      </c>
      <c r="N133">
        <v>3</v>
      </c>
      <c r="O133">
        <v>3</v>
      </c>
      <c r="P133" t="s">
        <v>179</v>
      </c>
      <c r="Q133" s="27">
        <v>45990</v>
      </c>
      <c r="R133" s="28">
        <v>45990.548522916666</v>
      </c>
      <c r="S133" s="26">
        <v>2017</v>
      </c>
      <c r="T133" s="26" t="s">
        <v>315</v>
      </c>
      <c r="U133" s="26"/>
      <c r="V133">
        <f>ROUND(VALUE(Table1_2[[#This Row],[Salary2]]),0)</f>
        <v>34402</v>
      </c>
      <c r="W133">
        <f>VALUE(Table1_2[[#This Row],[Performance Rating22]])</f>
        <v>3</v>
      </c>
    </row>
    <row r="134" spans="1:23" x14ac:dyDescent="0.35">
      <c r="A134" t="s">
        <v>141</v>
      </c>
      <c r="B134" t="s">
        <v>287</v>
      </c>
      <c r="C134">
        <v>1132</v>
      </c>
      <c r="D134" t="s">
        <v>159</v>
      </c>
      <c r="E134" t="s">
        <v>167</v>
      </c>
      <c r="F134" t="s">
        <v>173</v>
      </c>
      <c r="G134" s="13">
        <v>38678</v>
      </c>
      <c r="H134" s="16">
        <v>42932</v>
      </c>
      <c r="I134">
        <v>3</v>
      </c>
      <c r="J134" t="s">
        <v>179</v>
      </c>
      <c r="K134" t="s">
        <v>275</v>
      </c>
      <c r="L134" s="15">
        <v>38678</v>
      </c>
      <c r="M134" s="16">
        <v>42932</v>
      </c>
      <c r="N134">
        <v>3</v>
      </c>
      <c r="O134">
        <v>3</v>
      </c>
      <c r="P134" t="s">
        <v>179</v>
      </c>
      <c r="Q134" s="27">
        <v>45990</v>
      </c>
      <c r="R134" s="28">
        <v>45990.548522916666</v>
      </c>
      <c r="S134" s="26">
        <v>2017</v>
      </c>
      <c r="T134" s="26" t="s">
        <v>315</v>
      </c>
      <c r="U134" s="26"/>
      <c r="V134">
        <f>ROUND(VALUE(Table1_2[[#This Row],[Salary2]]),0)</f>
        <v>38678</v>
      </c>
      <c r="W134">
        <f>VALUE(Table1_2[[#This Row],[Performance Rating22]])</f>
        <v>3</v>
      </c>
    </row>
    <row r="135" spans="1:23" x14ac:dyDescent="0.35">
      <c r="A135" t="s">
        <v>142</v>
      </c>
      <c r="B135" t="s">
        <v>287</v>
      </c>
      <c r="C135">
        <v>1133</v>
      </c>
      <c r="D135" t="s">
        <v>164</v>
      </c>
      <c r="E135" t="s">
        <v>167</v>
      </c>
      <c r="F135" t="s">
        <v>172</v>
      </c>
      <c r="G135" s="13">
        <v>45758</v>
      </c>
      <c r="H135" s="16">
        <v>42939</v>
      </c>
      <c r="I135">
        <v>3</v>
      </c>
      <c r="K135" t="s">
        <v>264</v>
      </c>
      <c r="L135" s="15">
        <v>45758</v>
      </c>
      <c r="M135" s="16">
        <v>42939</v>
      </c>
      <c r="N135">
        <v>3</v>
      </c>
      <c r="O135">
        <v>3</v>
      </c>
      <c r="P135" t="s">
        <v>180</v>
      </c>
      <c r="Q135" s="27">
        <v>45990</v>
      </c>
      <c r="R135" s="28">
        <v>45990.548522916666</v>
      </c>
      <c r="S135" s="26">
        <v>2017</v>
      </c>
      <c r="T135" s="26" t="s">
        <v>315</v>
      </c>
      <c r="U135" s="26"/>
      <c r="V135">
        <f>ROUND(VALUE(Table1_2[[#This Row],[Salary2]]),0)</f>
        <v>45758</v>
      </c>
      <c r="W135">
        <f>VALUE(Table1_2[[#This Row],[Performance Rating22]])</f>
        <v>3</v>
      </c>
    </row>
    <row r="136" spans="1:23" x14ac:dyDescent="0.35">
      <c r="A136" t="s">
        <v>143</v>
      </c>
      <c r="B136" t="s">
        <v>287</v>
      </c>
      <c r="C136">
        <v>1134</v>
      </c>
      <c r="D136" t="s">
        <v>159</v>
      </c>
      <c r="E136" t="s">
        <v>170</v>
      </c>
      <c r="F136" t="s">
        <v>174</v>
      </c>
      <c r="G136" s="13">
        <v>62476</v>
      </c>
      <c r="H136" s="16">
        <v>42946</v>
      </c>
      <c r="I136">
        <v>1</v>
      </c>
      <c r="J136" t="s">
        <v>179</v>
      </c>
      <c r="K136" t="s">
        <v>231</v>
      </c>
      <c r="L136" s="15">
        <v>62476</v>
      </c>
      <c r="M136" s="16">
        <v>42946</v>
      </c>
      <c r="N136">
        <v>1</v>
      </c>
      <c r="O136">
        <v>1</v>
      </c>
      <c r="P136" t="s">
        <v>179</v>
      </c>
      <c r="Q136" s="27">
        <v>45990</v>
      </c>
      <c r="R136" s="28">
        <v>45990.548522916666</v>
      </c>
      <c r="S136" s="26">
        <v>2017</v>
      </c>
      <c r="T136" s="26" t="s">
        <v>315</v>
      </c>
      <c r="U136" s="26"/>
      <c r="V136">
        <f>ROUND(VALUE(Table1_2[[#This Row],[Salary2]]),0)</f>
        <v>62476</v>
      </c>
      <c r="W136">
        <f>VALUE(Table1_2[[#This Row],[Performance Rating22]])</f>
        <v>1</v>
      </c>
    </row>
    <row r="137" spans="1:23" x14ac:dyDescent="0.35">
      <c r="A137" t="s">
        <v>144</v>
      </c>
      <c r="B137" t="s">
        <v>287</v>
      </c>
      <c r="C137">
        <v>1135</v>
      </c>
      <c r="D137" t="s">
        <v>178</v>
      </c>
      <c r="E137" t="s">
        <v>169</v>
      </c>
      <c r="F137" t="s">
        <v>175</v>
      </c>
      <c r="G137" s="13">
        <v>39280</v>
      </c>
      <c r="H137" s="16">
        <v>42953</v>
      </c>
      <c r="I137">
        <v>3</v>
      </c>
      <c r="J137" t="s">
        <v>181</v>
      </c>
      <c r="K137" t="s">
        <v>214</v>
      </c>
      <c r="L137" s="15">
        <v>39280</v>
      </c>
      <c r="M137" s="16">
        <v>42953</v>
      </c>
      <c r="N137">
        <v>3</v>
      </c>
      <c r="O137">
        <v>3</v>
      </c>
      <c r="P137" t="s">
        <v>181</v>
      </c>
      <c r="Q137" s="27">
        <v>45990</v>
      </c>
      <c r="R137" s="28">
        <v>45990.548522916666</v>
      </c>
      <c r="S137" s="26">
        <v>2017</v>
      </c>
      <c r="T137" s="26" t="s">
        <v>316</v>
      </c>
      <c r="U137" s="26"/>
      <c r="V137">
        <f>ROUND(VALUE(Table1_2[[#This Row],[Salary2]]),0)</f>
        <v>39280</v>
      </c>
      <c r="W137">
        <f>VALUE(Table1_2[[#This Row],[Performance Rating22]])</f>
        <v>3</v>
      </c>
    </row>
    <row r="138" spans="1:23" x14ac:dyDescent="0.35">
      <c r="A138" t="s">
        <v>145</v>
      </c>
      <c r="B138" t="s">
        <v>287</v>
      </c>
      <c r="C138">
        <v>1136</v>
      </c>
      <c r="D138" t="s">
        <v>162</v>
      </c>
      <c r="E138" t="s">
        <v>166</v>
      </c>
      <c r="F138" t="s">
        <v>174</v>
      </c>
      <c r="G138" s="13">
        <v>60335</v>
      </c>
      <c r="H138" s="16">
        <v>42960</v>
      </c>
      <c r="I138">
        <v>4</v>
      </c>
      <c r="J138" t="s">
        <v>179</v>
      </c>
      <c r="K138" t="s">
        <v>227</v>
      </c>
      <c r="L138" s="15">
        <v>60335</v>
      </c>
      <c r="M138" s="16">
        <v>42960</v>
      </c>
      <c r="N138">
        <v>4</v>
      </c>
      <c r="O138">
        <v>4</v>
      </c>
      <c r="P138" t="s">
        <v>179</v>
      </c>
      <c r="Q138" s="27">
        <v>45990</v>
      </c>
      <c r="R138" s="28">
        <v>45990.548522916666</v>
      </c>
      <c r="S138" s="26">
        <v>2017</v>
      </c>
      <c r="T138" s="26" t="s">
        <v>316</v>
      </c>
      <c r="U138" s="26"/>
      <c r="V138">
        <f>ROUND(VALUE(Table1_2[[#This Row],[Salary2]]),0)</f>
        <v>60335</v>
      </c>
      <c r="W138">
        <f>VALUE(Table1_2[[#This Row],[Performance Rating22]])</f>
        <v>4</v>
      </c>
    </row>
    <row r="139" spans="1:23" x14ac:dyDescent="0.35">
      <c r="A139" t="s">
        <v>146</v>
      </c>
      <c r="B139" t="s">
        <v>287</v>
      </c>
      <c r="C139">
        <v>1137</v>
      </c>
      <c r="D139" t="s">
        <v>164</v>
      </c>
      <c r="E139" t="s">
        <v>167</v>
      </c>
      <c r="F139" t="s">
        <v>172</v>
      </c>
      <c r="G139" s="13">
        <v>84968</v>
      </c>
      <c r="H139" s="16">
        <v>42967</v>
      </c>
      <c r="K139" t="s">
        <v>276</v>
      </c>
      <c r="L139" s="15">
        <v>84968</v>
      </c>
      <c r="M139" s="16">
        <v>42967</v>
      </c>
      <c r="N139">
        <v>2.7</v>
      </c>
      <c r="O139">
        <v>3</v>
      </c>
      <c r="P139" t="s">
        <v>180</v>
      </c>
      <c r="Q139" s="27">
        <v>45990</v>
      </c>
      <c r="R139" s="28">
        <v>45990.548522916666</v>
      </c>
      <c r="S139" s="26">
        <v>2017</v>
      </c>
      <c r="T139" s="26" t="s">
        <v>316</v>
      </c>
      <c r="U139" s="26"/>
      <c r="V139">
        <f>ROUND(VALUE(Table1_2[[#This Row],[Salary2]]),0)</f>
        <v>84968</v>
      </c>
      <c r="W139">
        <f>VALUE(Table1_2[[#This Row],[Performance Rating22]])</f>
        <v>3</v>
      </c>
    </row>
    <row r="140" spans="1:23" x14ac:dyDescent="0.35">
      <c r="A140" t="s">
        <v>147</v>
      </c>
      <c r="B140" t="s">
        <v>287</v>
      </c>
      <c r="C140">
        <v>1138</v>
      </c>
      <c r="D140" t="s">
        <v>164</v>
      </c>
      <c r="E140" t="s">
        <v>170</v>
      </c>
      <c r="F140" t="s">
        <v>176</v>
      </c>
      <c r="G140" s="13">
        <v>84750</v>
      </c>
      <c r="H140" s="16">
        <v>42974</v>
      </c>
      <c r="I140">
        <v>4</v>
      </c>
      <c r="J140" t="s">
        <v>181</v>
      </c>
      <c r="K140" t="s">
        <v>195</v>
      </c>
      <c r="L140" s="15">
        <v>84750</v>
      </c>
      <c r="M140" s="16">
        <v>42974</v>
      </c>
      <c r="N140">
        <v>4</v>
      </c>
      <c r="O140">
        <v>4</v>
      </c>
      <c r="P140" t="s">
        <v>181</v>
      </c>
      <c r="Q140" s="27">
        <v>45990</v>
      </c>
      <c r="R140" s="28">
        <v>45990.548522916666</v>
      </c>
      <c r="S140" s="26">
        <v>2017</v>
      </c>
      <c r="T140" s="26" t="s">
        <v>316</v>
      </c>
      <c r="U140" s="26"/>
      <c r="V140">
        <f>ROUND(VALUE(Table1_2[[#This Row],[Salary2]]),0)</f>
        <v>84750</v>
      </c>
      <c r="W140">
        <f>VALUE(Table1_2[[#This Row],[Performance Rating22]])</f>
        <v>4</v>
      </c>
    </row>
    <row r="141" spans="1:23" x14ac:dyDescent="0.35">
      <c r="A141" t="s">
        <v>148</v>
      </c>
      <c r="B141" t="s">
        <v>287</v>
      </c>
      <c r="C141">
        <v>1139</v>
      </c>
      <c r="D141" t="s">
        <v>165</v>
      </c>
      <c r="E141" t="s">
        <v>169</v>
      </c>
      <c r="F141" t="s">
        <v>174</v>
      </c>
      <c r="G141" s="13">
        <v>73348</v>
      </c>
      <c r="H141" s="16">
        <v>42981</v>
      </c>
      <c r="I141">
        <v>2</v>
      </c>
      <c r="K141" t="s">
        <v>243</v>
      </c>
      <c r="L141" s="15">
        <v>73348</v>
      </c>
      <c r="M141" s="16">
        <v>42981</v>
      </c>
      <c r="N141">
        <v>2</v>
      </c>
      <c r="O141">
        <v>2</v>
      </c>
      <c r="P141" t="s">
        <v>180</v>
      </c>
      <c r="Q141" s="27">
        <v>45990</v>
      </c>
      <c r="R141" s="28">
        <v>45990.548522916666</v>
      </c>
      <c r="S141" s="26">
        <v>2017</v>
      </c>
      <c r="T141" s="26" t="s">
        <v>317</v>
      </c>
      <c r="U141" s="26"/>
      <c r="V141">
        <f>ROUND(VALUE(Table1_2[[#This Row],[Salary2]]),0)</f>
        <v>73348</v>
      </c>
      <c r="W141">
        <f>VALUE(Table1_2[[#This Row],[Performance Rating22]])</f>
        <v>2</v>
      </c>
    </row>
    <row r="142" spans="1:23" x14ac:dyDescent="0.35">
      <c r="A142" t="s">
        <v>149</v>
      </c>
      <c r="B142" t="s">
        <v>287</v>
      </c>
      <c r="C142">
        <v>1140</v>
      </c>
      <c r="D142" t="s">
        <v>164</v>
      </c>
      <c r="E142" t="s">
        <v>168</v>
      </c>
      <c r="F142" t="s">
        <v>173</v>
      </c>
      <c r="G142" s="13" t="s">
        <v>177</v>
      </c>
      <c r="H142" s="16">
        <v>42988</v>
      </c>
      <c r="I142">
        <v>4</v>
      </c>
      <c r="J142" t="s">
        <v>179</v>
      </c>
      <c r="K142" t="s">
        <v>182</v>
      </c>
      <c r="L142" s="15">
        <v>67929.08</v>
      </c>
      <c r="M142" s="16">
        <v>42988</v>
      </c>
      <c r="N142">
        <v>4</v>
      </c>
      <c r="O142">
        <v>4</v>
      </c>
      <c r="P142" t="s">
        <v>179</v>
      </c>
      <c r="Q142" s="27">
        <v>45990</v>
      </c>
      <c r="R142" s="28">
        <v>45990.548522916666</v>
      </c>
      <c r="S142" s="26">
        <v>2017</v>
      </c>
      <c r="T142" s="26" t="s">
        <v>317</v>
      </c>
      <c r="U142" s="26"/>
      <c r="V142">
        <f>ROUND(VALUE(Table1_2[[#This Row],[Salary2]]),0)</f>
        <v>67929</v>
      </c>
      <c r="W142">
        <f>VALUE(Table1_2[[#This Row],[Performance Rating22]])</f>
        <v>4</v>
      </c>
    </row>
    <row r="143" spans="1:23" x14ac:dyDescent="0.35">
      <c r="A143" t="s">
        <v>150</v>
      </c>
      <c r="B143" t="s">
        <v>287</v>
      </c>
      <c r="C143">
        <v>1141</v>
      </c>
      <c r="D143" t="s">
        <v>162</v>
      </c>
      <c r="E143" t="s">
        <v>170</v>
      </c>
      <c r="F143" t="s">
        <v>173</v>
      </c>
      <c r="G143" s="13">
        <v>66882</v>
      </c>
      <c r="H143" s="16">
        <v>42995</v>
      </c>
      <c r="I143">
        <v>5</v>
      </c>
      <c r="J143" t="s">
        <v>179</v>
      </c>
      <c r="K143" t="s">
        <v>207</v>
      </c>
      <c r="L143" s="15">
        <v>66882</v>
      </c>
      <c r="M143" s="16">
        <v>42995</v>
      </c>
      <c r="N143">
        <v>5</v>
      </c>
      <c r="O143">
        <v>5</v>
      </c>
      <c r="P143" t="s">
        <v>179</v>
      </c>
      <c r="Q143" s="27">
        <v>45990</v>
      </c>
      <c r="R143" s="28">
        <v>45990.548522916666</v>
      </c>
      <c r="S143" s="26">
        <v>2017</v>
      </c>
      <c r="T143" s="26" t="s">
        <v>317</v>
      </c>
      <c r="U143" s="26"/>
      <c r="V143">
        <f>ROUND(VALUE(Table1_2[[#This Row],[Salary2]]),0)</f>
        <v>66882</v>
      </c>
      <c r="W143">
        <f>VALUE(Table1_2[[#This Row],[Performance Rating22]])</f>
        <v>5</v>
      </c>
    </row>
    <row r="144" spans="1:23" x14ac:dyDescent="0.35">
      <c r="A144" t="s">
        <v>151</v>
      </c>
      <c r="B144" t="s">
        <v>287</v>
      </c>
      <c r="C144">
        <v>1142</v>
      </c>
      <c r="D144" t="s">
        <v>160</v>
      </c>
      <c r="E144" t="s">
        <v>170</v>
      </c>
      <c r="F144" t="s">
        <v>174</v>
      </c>
      <c r="G144" s="13">
        <v>86775</v>
      </c>
      <c r="H144" s="16">
        <v>43002</v>
      </c>
      <c r="I144">
        <v>3</v>
      </c>
      <c r="J144" t="s">
        <v>179</v>
      </c>
      <c r="K144" t="s">
        <v>212</v>
      </c>
      <c r="L144" s="15">
        <v>86775</v>
      </c>
      <c r="M144" s="16">
        <v>43002</v>
      </c>
      <c r="N144">
        <v>3</v>
      </c>
      <c r="O144">
        <v>3</v>
      </c>
      <c r="P144" t="s">
        <v>179</v>
      </c>
      <c r="Q144" s="27">
        <v>45990</v>
      </c>
      <c r="R144" s="28">
        <v>45990.548522916666</v>
      </c>
      <c r="S144" s="26">
        <v>2017</v>
      </c>
      <c r="T144" s="26" t="s">
        <v>317</v>
      </c>
      <c r="U144" s="26"/>
      <c r="V144">
        <f>ROUND(VALUE(Table1_2[[#This Row],[Salary2]]),0)</f>
        <v>86775</v>
      </c>
      <c r="W144">
        <f>VALUE(Table1_2[[#This Row],[Performance Rating22]])</f>
        <v>3</v>
      </c>
    </row>
    <row r="145" spans="1:23" x14ac:dyDescent="0.35">
      <c r="A145" t="s">
        <v>152</v>
      </c>
      <c r="B145" t="s">
        <v>287</v>
      </c>
      <c r="C145">
        <v>1143</v>
      </c>
      <c r="D145" t="s">
        <v>164</v>
      </c>
      <c r="E145" t="s">
        <v>168</v>
      </c>
      <c r="F145" t="s">
        <v>175</v>
      </c>
      <c r="G145" s="13">
        <v>91620</v>
      </c>
      <c r="H145" s="16">
        <v>43009</v>
      </c>
      <c r="K145" t="s">
        <v>277</v>
      </c>
      <c r="L145" s="15">
        <v>91620</v>
      </c>
      <c r="M145" s="16">
        <v>43009</v>
      </c>
      <c r="N145">
        <v>2.7272727272727271</v>
      </c>
      <c r="O145">
        <v>3</v>
      </c>
      <c r="P145" t="s">
        <v>180</v>
      </c>
      <c r="Q145" s="27">
        <v>45990</v>
      </c>
      <c r="R145" s="28">
        <v>45990.548522916666</v>
      </c>
      <c r="S145" s="26">
        <v>2017</v>
      </c>
      <c r="T145" s="26" t="s">
        <v>318</v>
      </c>
      <c r="U145" s="26"/>
      <c r="V145">
        <f>ROUND(VALUE(Table1_2[[#This Row],[Salary2]]),0)</f>
        <v>91620</v>
      </c>
      <c r="W145">
        <f>VALUE(Table1_2[[#This Row],[Performance Rating22]])</f>
        <v>3</v>
      </c>
    </row>
    <row r="146" spans="1:23" x14ac:dyDescent="0.35">
      <c r="A146" t="s">
        <v>153</v>
      </c>
      <c r="B146" t="s">
        <v>287</v>
      </c>
      <c r="C146">
        <v>1144</v>
      </c>
      <c r="D146" t="s">
        <v>159</v>
      </c>
      <c r="E146" t="s">
        <v>170</v>
      </c>
      <c r="F146" t="s">
        <v>174</v>
      </c>
      <c r="G146" s="13">
        <v>94148</v>
      </c>
      <c r="H146" s="16">
        <v>43016</v>
      </c>
      <c r="I146">
        <v>2</v>
      </c>
      <c r="K146" t="s">
        <v>278</v>
      </c>
      <c r="L146" s="15">
        <v>94148</v>
      </c>
      <c r="M146" s="16">
        <v>43016</v>
      </c>
      <c r="N146">
        <v>2</v>
      </c>
      <c r="O146">
        <v>2</v>
      </c>
      <c r="P146" t="s">
        <v>180</v>
      </c>
      <c r="Q146" s="27">
        <v>45990</v>
      </c>
      <c r="R146" s="28">
        <v>45990.548522916666</v>
      </c>
      <c r="S146" s="26">
        <v>2017</v>
      </c>
      <c r="T146" s="26" t="s">
        <v>318</v>
      </c>
      <c r="U146" s="26"/>
      <c r="V146">
        <f>ROUND(VALUE(Table1_2[[#This Row],[Salary2]]),0)</f>
        <v>94148</v>
      </c>
      <c r="W146">
        <f>VALUE(Table1_2[[#This Row],[Performance Rating22]])</f>
        <v>2</v>
      </c>
    </row>
    <row r="147" spans="1:23" x14ac:dyDescent="0.35">
      <c r="A147" t="s">
        <v>154</v>
      </c>
      <c r="B147" t="s">
        <v>287</v>
      </c>
      <c r="C147">
        <v>1145</v>
      </c>
      <c r="D147" t="s">
        <v>163</v>
      </c>
      <c r="E147" t="s">
        <v>168</v>
      </c>
      <c r="F147" t="s">
        <v>176</v>
      </c>
      <c r="G147" s="13">
        <v>35627</v>
      </c>
      <c r="H147" s="16">
        <v>43023</v>
      </c>
      <c r="I147">
        <v>5</v>
      </c>
      <c r="J147" t="s">
        <v>181</v>
      </c>
      <c r="K147" t="s">
        <v>275</v>
      </c>
      <c r="L147" s="15">
        <v>35627</v>
      </c>
      <c r="M147" s="16">
        <v>43023</v>
      </c>
      <c r="N147">
        <v>5</v>
      </c>
      <c r="O147">
        <v>5</v>
      </c>
      <c r="P147" t="s">
        <v>181</v>
      </c>
      <c r="Q147" s="27">
        <v>45990</v>
      </c>
      <c r="R147" s="28">
        <v>45990.548522916666</v>
      </c>
      <c r="S147" s="26">
        <v>2017</v>
      </c>
      <c r="T147" s="26" t="s">
        <v>318</v>
      </c>
      <c r="U147" s="26"/>
      <c r="V147">
        <f>ROUND(VALUE(Table1_2[[#This Row],[Salary2]]),0)</f>
        <v>35627</v>
      </c>
      <c r="W147">
        <f>VALUE(Table1_2[[#This Row],[Performance Rating22]])</f>
        <v>5</v>
      </c>
    </row>
    <row r="148" spans="1:23" x14ac:dyDescent="0.35">
      <c r="A148" t="s">
        <v>155</v>
      </c>
      <c r="B148" t="s">
        <v>287</v>
      </c>
      <c r="C148">
        <v>1146</v>
      </c>
      <c r="D148" t="s">
        <v>161</v>
      </c>
      <c r="E148" t="s">
        <v>170</v>
      </c>
      <c r="F148" t="s">
        <v>173</v>
      </c>
      <c r="G148" s="13">
        <v>57141</v>
      </c>
      <c r="H148" s="16">
        <v>43030</v>
      </c>
      <c r="I148">
        <v>2</v>
      </c>
      <c r="K148" t="s">
        <v>276</v>
      </c>
      <c r="L148" s="15">
        <v>57141</v>
      </c>
      <c r="M148" s="16">
        <v>43030</v>
      </c>
      <c r="N148">
        <v>2</v>
      </c>
      <c r="O148">
        <v>2</v>
      </c>
      <c r="P148" t="s">
        <v>180</v>
      </c>
      <c r="Q148" s="27">
        <v>45990</v>
      </c>
      <c r="R148" s="28">
        <v>45990.548522916666</v>
      </c>
      <c r="S148" s="26">
        <v>2017</v>
      </c>
      <c r="T148" s="26" t="s">
        <v>318</v>
      </c>
      <c r="U148" s="26"/>
      <c r="V148">
        <f>ROUND(VALUE(Table1_2[[#This Row],[Salary2]]),0)</f>
        <v>57141</v>
      </c>
      <c r="W148">
        <f>VALUE(Table1_2[[#This Row],[Performance Rating22]])</f>
        <v>2</v>
      </c>
    </row>
    <row r="149" spans="1:23" x14ac:dyDescent="0.35">
      <c r="A149" t="s">
        <v>156</v>
      </c>
      <c r="B149" t="s">
        <v>287</v>
      </c>
      <c r="C149">
        <v>1147</v>
      </c>
      <c r="D149" t="s">
        <v>165</v>
      </c>
      <c r="E149" t="s">
        <v>168</v>
      </c>
      <c r="F149" t="s">
        <v>176</v>
      </c>
      <c r="G149" s="13">
        <v>65270</v>
      </c>
      <c r="H149" s="16">
        <v>43037</v>
      </c>
      <c r="I149">
        <v>1</v>
      </c>
      <c r="K149" t="s">
        <v>279</v>
      </c>
      <c r="L149" s="15">
        <v>65270</v>
      </c>
      <c r="M149" s="16">
        <v>43037</v>
      </c>
      <c r="N149">
        <v>1</v>
      </c>
      <c r="O149">
        <v>1</v>
      </c>
      <c r="P149" t="s">
        <v>180</v>
      </c>
      <c r="Q149" s="27">
        <v>45990</v>
      </c>
      <c r="R149" s="28">
        <v>45990.548522916666</v>
      </c>
      <c r="S149" s="26">
        <v>2017</v>
      </c>
      <c r="T149" s="26" t="s">
        <v>318</v>
      </c>
      <c r="U149" s="26"/>
      <c r="V149">
        <f>ROUND(VALUE(Table1_2[[#This Row],[Salary2]]),0)</f>
        <v>65270</v>
      </c>
      <c r="W149">
        <f>VALUE(Table1_2[[#This Row],[Performance Rating22]])</f>
        <v>1</v>
      </c>
    </row>
    <row r="150" spans="1:23" x14ac:dyDescent="0.35">
      <c r="A150" t="s">
        <v>157</v>
      </c>
      <c r="B150" t="s">
        <v>287</v>
      </c>
      <c r="C150">
        <v>1148</v>
      </c>
      <c r="D150" t="s">
        <v>165</v>
      </c>
      <c r="E150" t="s">
        <v>170</v>
      </c>
      <c r="F150" t="s">
        <v>175</v>
      </c>
      <c r="G150" s="13">
        <v>67335</v>
      </c>
      <c r="H150" s="16">
        <v>43044</v>
      </c>
      <c r="I150">
        <v>1</v>
      </c>
      <c r="J150" t="s">
        <v>179</v>
      </c>
      <c r="K150" t="s">
        <v>233</v>
      </c>
      <c r="L150" s="15">
        <v>67335</v>
      </c>
      <c r="M150" s="16">
        <v>43044</v>
      </c>
      <c r="N150">
        <v>1</v>
      </c>
      <c r="O150">
        <v>1</v>
      </c>
      <c r="P150" t="s">
        <v>179</v>
      </c>
      <c r="Q150" s="27">
        <v>45990</v>
      </c>
      <c r="R150" s="28">
        <v>45990.548522916666</v>
      </c>
      <c r="S150" s="26">
        <v>2017</v>
      </c>
      <c r="T150" s="26" t="s">
        <v>319</v>
      </c>
      <c r="U150" s="26"/>
      <c r="V150">
        <f>ROUND(VALUE(Table1_2[[#This Row],[Salary2]]),0)</f>
        <v>67335</v>
      </c>
      <c r="W150">
        <f>VALUE(Table1_2[[#This Row],[Performance Rating22]])</f>
        <v>1</v>
      </c>
    </row>
    <row r="151" spans="1:23" x14ac:dyDescent="0.35">
      <c r="A151" t="s">
        <v>158</v>
      </c>
      <c r="B151" t="s">
        <v>287</v>
      </c>
      <c r="C151">
        <v>1149</v>
      </c>
      <c r="D151" t="s">
        <v>163</v>
      </c>
      <c r="E151" t="s">
        <v>170</v>
      </c>
      <c r="F151" t="s">
        <v>174</v>
      </c>
      <c r="G151" s="13">
        <v>98475</v>
      </c>
      <c r="H151" s="16">
        <v>43051</v>
      </c>
      <c r="I151">
        <v>5</v>
      </c>
      <c r="J151" t="s">
        <v>179</v>
      </c>
      <c r="K151" t="s">
        <v>280</v>
      </c>
      <c r="L151" s="15">
        <v>98475</v>
      </c>
      <c r="M151" s="16">
        <v>43051</v>
      </c>
      <c r="N151">
        <v>5</v>
      </c>
      <c r="O151">
        <v>5</v>
      </c>
      <c r="P151" t="s">
        <v>179</v>
      </c>
      <c r="Q151" s="27">
        <v>45990</v>
      </c>
      <c r="R151" s="28">
        <v>45990.548522916666</v>
      </c>
      <c r="S151" s="26">
        <v>2017</v>
      </c>
      <c r="T151" s="26" t="s">
        <v>319</v>
      </c>
      <c r="U151" s="26"/>
      <c r="V151">
        <f>ROUND(VALUE(Table1_2[[#This Row],[Salary2]]),0)</f>
        <v>98475</v>
      </c>
      <c r="W151">
        <f>VALUE(Table1_2[[#This Row],[Performance Rating22]])</f>
        <v>5</v>
      </c>
    </row>
  </sheetData>
  <mergeCells count="2">
    <mergeCell ref="Y1:Z1"/>
    <mergeCell ref="AA1:AB1"/>
  </mergeCells>
  <conditionalFormatting sqref="L2:L151">
    <cfRule type="cellIs" dxfId="21" priority="7" operator="lessThan">
      <formula>50000</formula>
    </cfRule>
    <cfRule type="cellIs" dxfId="20" priority="8" operator="greaterThan">
      <formula>80000</formula>
    </cfRule>
    <cfRule type="cellIs" dxfId="19" priority="9" operator="greaterThan">
      <formula>50000</formula>
    </cfRule>
  </conditionalFormatting>
  <conditionalFormatting sqref="O1:O15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{E78704F3-BC8B-413A-80EE-FE0EA47B4B79}</x14:id>
        </ext>
      </extLst>
    </cfRule>
  </conditionalFormatting>
  <conditionalFormatting sqref="P2:P151">
    <cfRule type="cellIs" dxfId="18" priority="1" operator="equal">
      <formula>"Unknown"</formula>
    </cfRule>
    <cfRule type="cellIs" dxfId="17" priority="2" operator="equal">
      <formula>"Other"</formula>
    </cfRule>
    <cfRule type="cellIs" dxfId="16" priority="3" operator="equal">
      <formula>"Female"</formula>
    </cfRule>
    <cfRule type="cellIs" dxfId="15" priority="4" operator="equal">
      <formula>"Male"</formula>
    </cfRule>
    <cfRule type="containsText" dxfId="14" priority="5" operator="containsText" text="Male">
      <formula>NOT(ISERROR(SEARCH("Male",P2)))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8704F3-BC8B-413A-80EE-FE0EA47B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O1:O151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7FA1-4CB2-4D5B-971B-46CF5335F53D}">
  <dimension ref="A1:N151"/>
  <sheetViews>
    <sheetView tabSelected="1" topLeftCell="C1" workbookViewId="0">
      <selection activeCell="M3" sqref="M3"/>
    </sheetView>
  </sheetViews>
  <sheetFormatPr defaultRowHeight="14.5" x14ac:dyDescent="0.35"/>
  <cols>
    <col min="1" max="1" width="11.26953125" bestFit="1" customWidth="1"/>
    <col min="2" max="2" width="11.453125" bestFit="1" customWidth="1"/>
    <col min="3" max="3" width="11.08984375" bestFit="1" customWidth="1"/>
    <col min="4" max="4" width="8.453125" bestFit="1" customWidth="1"/>
    <col min="5" max="5" width="7.26953125" bestFit="1" customWidth="1"/>
    <col min="6" max="6" width="13.26953125" bestFit="1" customWidth="1"/>
    <col min="7" max="7" width="17.54296875" bestFit="1" customWidth="1"/>
    <col min="8" max="8" width="8.81640625" bestFit="1" customWidth="1"/>
    <col min="9" max="9" width="20.6328125" bestFit="1" customWidth="1"/>
    <col min="10" max="10" width="7.26953125" bestFit="1" customWidth="1"/>
    <col min="11" max="11" width="14.26953125" style="35" bestFit="1" customWidth="1"/>
    <col min="12" max="12" width="18.54296875" style="35" bestFit="1" customWidth="1"/>
    <col min="13" max="13" width="18.36328125" style="33" bestFit="1" customWidth="1"/>
    <col min="14" max="14" width="18.54296875" style="16" bestFit="1" customWidth="1"/>
    <col min="15" max="15" width="18.54296875" bestFit="1" customWidth="1"/>
    <col min="16" max="16" width="19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s="13" t="s">
        <v>4</v>
      </c>
      <c r="F1" t="s">
        <v>5</v>
      </c>
      <c r="G1" t="s">
        <v>6</v>
      </c>
      <c r="H1" t="s">
        <v>7</v>
      </c>
      <c r="I1" t="s">
        <v>8</v>
      </c>
      <c r="J1" s="30" t="s">
        <v>4</v>
      </c>
      <c r="K1" s="31" t="s">
        <v>282</v>
      </c>
      <c r="L1" s="32" t="s">
        <v>283</v>
      </c>
      <c r="M1"/>
      <c r="N1"/>
    </row>
    <row r="2" spans="1:14" x14ac:dyDescent="0.35">
      <c r="A2" t="s">
        <v>9</v>
      </c>
      <c r="B2" t="s">
        <v>178</v>
      </c>
      <c r="C2" t="s">
        <v>166</v>
      </c>
      <c r="D2" t="s">
        <v>174</v>
      </c>
      <c r="E2" s="13" t="s">
        <v>177</v>
      </c>
      <c r="F2" s="16"/>
      <c r="G2">
        <v>2</v>
      </c>
      <c r="H2" t="s">
        <v>178</v>
      </c>
      <c r="I2" t="s">
        <v>182</v>
      </c>
      <c r="J2" s="33">
        <v>65605</v>
      </c>
      <c r="K2" s="34">
        <v>42454.25</v>
      </c>
      <c r="L2" s="35">
        <v>2</v>
      </c>
      <c r="M2"/>
      <c r="N2"/>
    </row>
    <row r="3" spans="1:14" x14ac:dyDescent="0.35">
      <c r="A3" t="s">
        <v>10</v>
      </c>
      <c r="B3" t="s">
        <v>159</v>
      </c>
      <c r="C3" t="s">
        <v>167</v>
      </c>
      <c r="D3" t="s">
        <v>172</v>
      </c>
      <c r="E3" s="13">
        <v>54255</v>
      </c>
      <c r="F3" s="16">
        <v>42015</v>
      </c>
      <c r="G3">
        <v>1</v>
      </c>
      <c r="H3" t="s">
        <v>179</v>
      </c>
      <c r="I3" t="s">
        <v>183</v>
      </c>
      <c r="J3" s="33">
        <v>54255</v>
      </c>
      <c r="K3" s="34">
        <v>42015</v>
      </c>
      <c r="L3" s="35">
        <v>1</v>
      </c>
      <c r="M3" s="36" t="s">
        <v>321</v>
      </c>
      <c r="N3" s="37" t="s">
        <v>4</v>
      </c>
    </row>
    <row r="4" spans="1:14" x14ac:dyDescent="0.35">
      <c r="A4" t="s">
        <v>11</v>
      </c>
      <c r="B4" t="s">
        <v>160</v>
      </c>
      <c r="C4" t="s">
        <v>166</v>
      </c>
      <c r="D4" t="s">
        <v>172</v>
      </c>
      <c r="E4" s="13">
        <v>63184</v>
      </c>
      <c r="F4" s="16">
        <v>42022</v>
      </c>
      <c r="G4">
        <v>2</v>
      </c>
      <c r="I4" t="s">
        <v>184</v>
      </c>
      <c r="J4" s="33">
        <v>63184</v>
      </c>
      <c r="K4" s="34">
        <v>42022</v>
      </c>
      <c r="L4" s="35">
        <v>2</v>
      </c>
      <c r="M4" s="38" t="s">
        <v>19</v>
      </c>
      <c r="N4" s="39">
        <f>INDEX(J2:J151,MATCH(M4,Table1_25[Employee ID],0))</f>
        <v>64247</v>
      </c>
    </row>
    <row r="5" spans="1:14" x14ac:dyDescent="0.35">
      <c r="A5" t="s">
        <v>12</v>
      </c>
      <c r="B5" t="s">
        <v>161</v>
      </c>
      <c r="C5" t="s">
        <v>168</v>
      </c>
      <c r="D5" t="s">
        <v>173</v>
      </c>
      <c r="E5" s="13">
        <v>94406</v>
      </c>
      <c r="F5" s="16">
        <v>42029</v>
      </c>
      <c r="G5">
        <v>1</v>
      </c>
      <c r="H5" t="s">
        <v>180</v>
      </c>
      <c r="I5" t="s">
        <v>185</v>
      </c>
      <c r="J5" s="33">
        <v>94406</v>
      </c>
      <c r="K5" s="34">
        <v>42029</v>
      </c>
      <c r="L5" s="35">
        <v>1</v>
      </c>
      <c r="M5"/>
      <c r="N5"/>
    </row>
    <row r="6" spans="1:14" x14ac:dyDescent="0.35">
      <c r="A6" t="s">
        <v>13</v>
      </c>
      <c r="B6" t="s">
        <v>162</v>
      </c>
      <c r="C6" t="s">
        <v>168</v>
      </c>
      <c r="D6" t="s">
        <v>172</v>
      </c>
      <c r="E6" s="13">
        <v>64120</v>
      </c>
      <c r="F6" s="16">
        <v>42036</v>
      </c>
      <c r="G6">
        <v>1</v>
      </c>
      <c r="H6" t="s">
        <v>180</v>
      </c>
      <c r="I6" t="s">
        <v>186</v>
      </c>
      <c r="J6" s="33">
        <v>64120</v>
      </c>
      <c r="K6" s="34">
        <v>42036</v>
      </c>
      <c r="L6" s="35">
        <v>1</v>
      </c>
      <c r="M6"/>
      <c r="N6"/>
    </row>
    <row r="7" spans="1:14" x14ac:dyDescent="0.35">
      <c r="A7" t="s">
        <v>14</v>
      </c>
      <c r="B7" t="s">
        <v>160</v>
      </c>
      <c r="C7" t="s">
        <v>169</v>
      </c>
      <c r="D7" t="s">
        <v>174</v>
      </c>
      <c r="E7" s="13">
        <v>78421</v>
      </c>
      <c r="F7" s="16">
        <v>42043</v>
      </c>
      <c r="G7">
        <v>2</v>
      </c>
      <c r="H7" t="s">
        <v>181</v>
      </c>
      <c r="I7" t="s">
        <v>187</v>
      </c>
      <c r="J7" s="33">
        <v>78421</v>
      </c>
      <c r="K7" s="34">
        <v>42043</v>
      </c>
      <c r="L7" s="35">
        <v>2</v>
      </c>
      <c r="M7"/>
      <c r="N7"/>
    </row>
    <row r="8" spans="1:14" x14ac:dyDescent="0.35">
      <c r="A8" t="s">
        <v>15</v>
      </c>
      <c r="B8" t="s">
        <v>163</v>
      </c>
      <c r="C8" t="s">
        <v>168</v>
      </c>
      <c r="D8" t="s">
        <v>174</v>
      </c>
      <c r="E8" s="13">
        <v>67721</v>
      </c>
      <c r="F8" s="16">
        <v>42050</v>
      </c>
      <c r="H8" t="s">
        <v>180</v>
      </c>
      <c r="I8" t="s">
        <v>185</v>
      </c>
      <c r="J8" s="33">
        <v>67721</v>
      </c>
      <c r="K8" s="34">
        <v>42050</v>
      </c>
      <c r="L8" s="35">
        <v>3</v>
      </c>
      <c r="M8"/>
      <c r="N8"/>
    </row>
    <row r="9" spans="1:14" x14ac:dyDescent="0.35">
      <c r="A9" t="s">
        <v>16</v>
      </c>
      <c r="B9" t="s">
        <v>164</v>
      </c>
      <c r="C9" t="s">
        <v>170</v>
      </c>
      <c r="D9" t="s">
        <v>174</v>
      </c>
      <c r="E9" s="13">
        <v>35364</v>
      </c>
      <c r="F9" s="16">
        <v>42057</v>
      </c>
      <c r="G9">
        <v>2</v>
      </c>
      <c r="H9" t="s">
        <v>179</v>
      </c>
      <c r="I9" t="s">
        <v>188</v>
      </c>
      <c r="J9" s="33">
        <v>35364</v>
      </c>
      <c r="K9" s="34">
        <v>42057</v>
      </c>
      <c r="L9" s="35">
        <v>2</v>
      </c>
      <c r="M9"/>
      <c r="N9"/>
    </row>
    <row r="10" spans="1:14" x14ac:dyDescent="0.35">
      <c r="A10" t="s">
        <v>17</v>
      </c>
      <c r="B10" t="s">
        <v>160</v>
      </c>
      <c r="C10" t="s">
        <v>169</v>
      </c>
      <c r="D10" t="s">
        <v>172</v>
      </c>
      <c r="E10" s="13">
        <v>97881</v>
      </c>
      <c r="F10" s="16">
        <v>42064</v>
      </c>
      <c r="H10" t="s">
        <v>181</v>
      </c>
      <c r="I10" t="s">
        <v>189</v>
      </c>
      <c r="J10" s="33">
        <v>97881</v>
      </c>
      <c r="K10" s="34">
        <v>42064</v>
      </c>
      <c r="L10" s="35">
        <v>3</v>
      </c>
      <c r="M10"/>
      <c r="N10"/>
    </row>
    <row r="11" spans="1:14" x14ac:dyDescent="0.35">
      <c r="A11" t="s">
        <v>18</v>
      </c>
      <c r="B11" t="s">
        <v>164</v>
      </c>
      <c r="C11" t="s">
        <v>167</v>
      </c>
      <c r="D11" t="s">
        <v>175</v>
      </c>
      <c r="E11" s="13">
        <v>91846</v>
      </c>
      <c r="F11" s="16">
        <v>42071</v>
      </c>
      <c r="H11" t="s">
        <v>180</v>
      </c>
      <c r="I11" t="s">
        <v>190</v>
      </c>
      <c r="J11" s="33">
        <v>91846</v>
      </c>
      <c r="K11" s="34">
        <v>42071</v>
      </c>
      <c r="L11" s="35">
        <v>3</v>
      </c>
      <c r="M11"/>
      <c r="N11"/>
    </row>
    <row r="12" spans="1:14" x14ac:dyDescent="0.35">
      <c r="A12" t="s">
        <v>19</v>
      </c>
      <c r="B12" t="s">
        <v>163</v>
      </c>
      <c r="C12" t="s">
        <v>166</v>
      </c>
      <c r="D12" t="s">
        <v>175</v>
      </c>
      <c r="E12" s="13">
        <v>64247</v>
      </c>
      <c r="F12" s="16">
        <v>42078</v>
      </c>
      <c r="G12">
        <v>1</v>
      </c>
      <c r="H12" t="s">
        <v>181</v>
      </c>
      <c r="I12" t="s">
        <v>191</v>
      </c>
      <c r="J12" s="33">
        <v>64247</v>
      </c>
      <c r="K12" s="34">
        <v>42078</v>
      </c>
      <c r="L12" s="35">
        <v>1</v>
      </c>
      <c r="M12"/>
      <c r="N12"/>
    </row>
    <row r="13" spans="1:14" x14ac:dyDescent="0.35">
      <c r="A13" t="s">
        <v>20</v>
      </c>
      <c r="B13" t="s">
        <v>163</v>
      </c>
      <c r="C13" t="s">
        <v>169</v>
      </c>
      <c r="D13" t="s">
        <v>173</v>
      </c>
      <c r="E13" s="13">
        <v>91180</v>
      </c>
      <c r="F13" s="16">
        <v>42085</v>
      </c>
      <c r="G13">
        <v>5</v>
      </c>
      <c r="H13" t="s">
        <v>180</v>
      </c>
      <c r="I13" t="s">
        <v>192</v>
      </c>
      <c r="J13" s="33">
        <v>91180</v>
      </c>
      <c r="K13" s="34">
        <v>42085</v>
      </c>
      <c r="L13" s="35">
        <v>5</v>
      </c>
      <c r="M13"/>
      <c r="N13"/>
    </row>
    <row r="14" spans="1:14" x14ac:dyDescent="0.35">
      <c r="A14" t="s">
        <v>21</v>
      </c>
      <c r="B14" t="s">
        <v>165</v>
      </c>
      <c r="C14" t="s">
        <v>168</v>
      </c>
      <c r="D14" t="s">
        <v>174</v>
      </c>
      <c r="E14" s="13">
        <v>96418</v>
      </c>
      <c r="F14" s="16">
        <v>42092</v>
      </c>
      <c r="G14">
        <v>5</v>
      </c>
      <c r="H14" t="s">
        <v>180</v>
      </c>
      <c r="I14" t="s">
        <v>183</v>
      </c>
      <c r="J14" s="33">
        <v>96418</v>
      </c>
      <c r="K14" s="34">
        <v>42092</v>
      </c>
      <c r="L14" s="35">
        <v>5</v>
      </c>
      <c r="M14"/>
      <c r="N14"/>
    </row>
    <row r="15" spans="1:14" x14ac:dyDescent="0.35">
      <c r="A15" t="s">
        <v>22</v>
      </c>
      <c r="B15" t="s">
        <v>163</v>
      </c>
      <c r="C15" t="s">
        <v>170</v>
      </c>
      <c r="D15" t="s">
        <v>174</v>
      </c>
      <c r="E15" s="13">
        <v>62158</v>
      </c>
      <c r="F15" s="16">
        <v>42099</v>
      </c>
      <c r="G15">
        <v>4</v>
      </c>
      <c r="I15" t="s">
        <v>193</v>
      </c>
      <c r="J15" s="33">
        <v>62158</v>
      </c>
      <c r="K15" s="34">
        <v>42099</v>
      </c>
      <c r="L15" s="35">
        <v>4</v>
      </c>
      <c r="M15"/>
      <c r="N15"/>
    </row>
    <row r="16" spans="1:14" x14ac:dyDescent="0.35">
      <c r="A16" t="s">
        <v>23</v>
      </c>
      <c r="B16" t="s">
        <v>162</v>
      </c>
      <c r="C16" t="s">
        <v>167</v>
      </c>
      <c r="D16" t="s">
        <v>174</v>
      </c>
      <c r="E16" s="13">
        <v>59894</v>
      </c>
      <c r="F16" s="16">
        <v>42106</v>
      </c>
      <c r="G16">
        <v>2</v>
      </c>
      <c r="H16" t="s">
        <v>180</v>
      </c>
      <c r="I16" t="s">
        <v>194</v>
      </c>
      <c r="J16" s="33">
        <v>59894</v>
      </c>
      <c r="K16" s="34">
        <v>42106</v>
      </c>
      <c r="L16" s="35">
        <v>2</v>
      </c>
      <c r="M16"/>
      <c r="N16"/>
    </row>
    <row r="17" spans="1:14" x14ac:dyDescent="0.35">
      <c r="A17" t="s">
        <v>24</v>
      </c>
      <c r="B17" t="s">
        <v>178</v>
      </c>
      <c r="C17" t="s">
        <v>169</v>
      </c>
      <c r="D17" t="s">
        <v>174</v>
      </c>
      <c r="E17" s="13">
        <v>92443</v>
      </c>
      <c r="F17" s="16">
        <v>42113</v>
      </c>
      <c r="G17">
        <v>3</v>
      </c>
      <c r="H17" t="s">
        <v>179</v>
      </c>
      <c r="I17" t="s">
        <v>195</v>
      </c>
      <c r="J17" s="33">
        <v>92443</v>
      </c>
      <c r="K17" s="34">
        <v>42113</v>
      </c>
      <c r="L17" s="35">
        <v>3</v>
      </c>
      <c r="M17"/>
      <c r="N17"/>
    </row>
    <row r="18" spans="1:14" x14ac:dyDescent="0.35">
      <c r="A18" t="s">
        <v>25</v>
      </c>
      <c r="B18" t="s">
        <v>165</v>
      </c>
      <c r="C18" t="s">
        <v>170</v>
      </c>
      <c r="D18" t="s">
        <v>172</v>
      </c>
      <c r="E18" s="13">
        <v>90271</v>
      </c>
      <c r="F18" s="16">
        <v>42120</v>
      </c>
      <c r="I18" t="s">
        <v>196</v>
      </c>
      <c r="J18" s="33">
        <v>90271</v>
      </c>
      <c r="K18" s="34">
        <v>42120</v>
      </c>
      <c r="L18" s="35">
        <v>3</v>
      </c>
      <c r="M18"/>
      <c r="N18"/>
    </row>
    <row r="19" spans="1:14" x14ac:dyDescent="0.35">
      <c r="A19" t="s">
        <v>26</v>
      </c>
      <c r="B19" t="s">
        <v>162</v>
      </c>
      <c r="C19" t="s">
        <v>166</v>
      </c>
      <c r="D19" t="s">
        <v>176</v>
      </c>
      <c r="E19" s="13">
        <v>41341</v>
      </c>
      <c r="F19" s="16">
        <v>42127</v>
      </c>
      <c r="G19">
        <v>1</v>
      </c>
      <c r="H19" t="s">
        <v>179</v>
      </c>
      <c r="I19" t="s">
        <v>197</v>
      </c>
      <c r="J19" s="33">
        <v>41341</v>
      </c>
      <c r="K19" s="34">
        <v>42127</v>
      </c>
      <c r="L19" s="35">
        <v>1</v>
      </c>
      <c r="M19"/>
      <c r="N19"/>
    </row>
    <row r="20" spans="1:14" x14ac:dyDescent="0.35">
      <c r="A20" t="s">
        <v>27</v>
      </c>
      <c r="B20" t="s">
        <v>160</v>
      </c>
      <c r="C20" t="s">
        <v>166</v>
      </c>
      <c r="D20" t="s">
        <v>175</v>
      </c>
      <c r="E20" s="13">
        <v>73602</v>
      </c>
      <c r="F20" s="16">
        <v>42134</v>
      </c>
      <c r="I20" t="s">
        <v>198</v>
      </c>
      <c r="J20" s="33">
        <v>73602</v>
      </c>
      <c r="K20" s="34">
        <v>42134</v>
      </c>
      <c r="L20" s="35">
        <v>3</v>
      </c>
      <c r="M20"/>
      <c r="N20"/>
    </row>
    <row r="21" spans="1:14" x14ac:dyDescent="0.35">
      <c r="A21" t="s">
        <v>28</v>
      </c>
      <c r="B21" t="s">
        <v>159</v>
      </c>
      <c r="C21" t="s">
        <v>170</v>
      </c>
      <c r="D21" t="s">
        <v>174</v>
      </c>
      <c r="E21" s="13">
        <v>67531</v>
      </c>
      <c r="F21" s="16">
        <v>42141</v>
      </c>
      <c r="G21">
        <v>5</v>
      </c>
      <c r="H21" t="s">
        <v>181</v>
      </c>
      <c r="I21" t="s">
        <v>199</v>
      </c>
      <c r="J21" s="33">
        <v>67531</v>
      </c>
      <c r="K21" s="34">
        <v>42141</v>
      </c>
      <c r="L21" s="35">
        <v>5</v>
      </c>
      <c r="M21"/>
      <c r="N21"/>
    </row>
    <row r="22" spans="1:14" x14ac:dyDescent="0.35">
      <c r="A22" t="s">
        <v>29</v>
      </c>
      <c r="B22" t="s">
        <v>162</v>
      </c>
      <c r="C22" t="s">
        <v>167</v>
      </c>
      <c r="D22" t="s">
        <v>173</v>
      </c>
      <c r="E22" s="13" t="s">
        <v>177</v>
      </c>
      <c r="F22" s="16">
        <v>42148</v>
      </c>
      <c r="G22">
        <v>2</v>
      </c>
      <c r="H22" t="s">
        <v>179</v>
      </c>
      <c r="I22" t="s">
        <v>200</v>
      </c>
      <c r="J22" s="33">
        <v>67835</v>
      </c>
      <c r="K22" s="34">
        <v>42148</v>
      </c>
      <c r="L22" s="35">
        <v>2</v>
      </c>
      <c r="M22"/>
      <c r="N22"/>
    </row>
    <row r="23" spans="1:14" x14ac:dyDescent="0.35">
      <c r="A23" t="s">
        <v>30</v>
      </c>
      <c r="B23" t="s">
        <v>162</v>
      </c>
      <c r="C23" t="s">
        <v>167</v>
      </c>
      <c r="D23" t="s">
        <v>174</v>
      </c>
      <c r="E23" s="13">
        <v>98922</v>
      </c>
      <c r="F23" s="16">
        <v>42155</v>
      </c>
      <c r="G23">
        <v>4</v>
      </c>
      <c r="I23" t="s">
        <v>201</v>
      </c>
      <c r="J23" s="33">
        <v>98922</v>
      </c>
      <c r="K23" s="34">
        <v>42155</v>
      </c>
      <c r="L23" s="35">
        <v>4</v>
      </c>
      <c r="M23"/>
      <c r="N23"/>
    </row>
    <row r="24" spans="1:14" x14ac:dyDescent="0.35">
      <c r="A24" t="s">
        <v>31</v>
      </c>
      <c r="B24" t="s">
        <v>159</v>
      </c>
      <c r="C24" t="s">
        <v>166</v>
      </c>
      <c r="D24" t="s">
        <v>174</v>
      </c>
      <c r="E24" s="13">
        <v>38333</v>
      </c>
      <c r="F24" s="16">
        <v>42162</v>
      </c>
      <c r="G24">
        <v>5</v>
      </c>
      <c r="I24" t="s">
        <v>202</v>
      </c>
      <c r="J24" s="33">
        <v>38333</v>
      </c>
      <c r="K24" s="34">
        <v>42162</v>
      </c>
      <c r="L24" s="35">
        <v>5</v>
      </c>
      <c r="M24"/>
      <c r="N24"/>
    </row>
    <row r="25" spans="1:14" x14ac:dyDescent="0.35">
      <c r="A25" t="s">
        <v>32</v>
      </c>
      <c r="B25" t="s">
        <v>160</v>
      </c>
      <c r="C25" t="s">
        <v>170</v>
      </c>
      <c r="D25" t="s">
        <v>175</v>
      </c>
      <c r="E25" s="13">
        <v>36515</v>
      </c>
      <c r="F25" s="16">
        <v>42169</v>
      </c>
      <c r="G25">
        <v>3</v>
      </c>
      <c r="H25" t="s">
        <v>180</v>
      </c>
      <c r="I25" t="s">
        <v>203</v>
      </c>
      <c r="J25" s="33">
        <v>36515</v>
      </c>
      <c r="K25" s="34">
        <v>42169</v>
      </c>
      <c r="L25" s="35">
        <v>3</v>
      </c>
      <c r="M25"/>
      <c r="N25"/>
    </row>
    <row r="26" spans="1:14" x14ac:dyDescent="0.35">
      <c r="A26" t="s">
        <v>33</v>
      </c>
      <c r="B26" t="s">
        <v>163</v>
      </c>
      <c r="C26" t="s">
        <v>166</v>
      </c>
      <c r="D26" t="s">
        <v>174</v>
      </c>
      <c r="E26" s="13">
        <v>91005</v>
      </c>
      <c r="F26" s="16">
        <v>42176</v>
      </c>
      <c r="G26">
        <v>1</v>
      </c>
      <c r="H26" t="s">
        <v>179</v>
      </c>
      <c r="I26" t="s">
        <v>204</v>
      </c>
      <c r="J26" s="33">
        <v>91005</v>
      </c>
      <c r="K26" s="34">
        <v>42176</v>
      </c>
      <c r="L26" s="35">
        <v>1</v>
      </c>
      <c r="M26"/>
      <c r="N26"/>
    </row>
    <row r="27" spans="1:14" x14ac:dyDescent="0.35">
      <c r="A27" t="s">
        <v>34</v>
      </c>
      <c r="B27" t="s">
        <v>164</v>
      </c>
      <c r="C27" t="s">
        <v>170</v>
      </c>
      <c r="D27" t="s">
        <v>174</v>
      </c>
      <c r="E27" s="13">
        <v>52272</v>
      </c>
      <c r="F27" s="16">
        <v>42183</v>
      </c>
      <c r="G27">
        <v>3</v>
      </c>
      <c r="I27" t="s">
        <v>205</v>
      </c>
      <c r="J27" s="33">
        <v>52272</v>
      </c>
      <c r="K27" s="34">
        <v>42183</v>
      </c>
      <c r="L27" s="35">
        <v>3</v>
      </c>
      <c r="M27"/>
      <c r="N27"/>
    </row>
    <row r="28" spans="1:14" x14ac:dyDescent="0.35">
      <c r="A28" t="s">
        <v>35</v>
      </c>
      <c r="B28" t="s">
        <v>159</v>
      </c>
      <c r="C28" t="s">
        <v>168</v>
      </c>
      <c r="D28" t="s">
        <v>172</v>
      </c>
      <c r="E28" s="13">
        <v>76518</v>
      </c>
      <c r="F28" s="16">
        <v>42190</v>
      </c>
      <c r="G28">
        <v>2</v>
      </c>
      <c r="H28" t="s">
        <v>181</v>
      </c>
      <c r="I28" t="s">
        <v>206</v>
      </c>
      <c r="J28" s="33">
        <v>76518</v>
      </c>
      <c r="K28" s="34">
        <v>42190</v>
      </c>
      <c r="L28" s="35">
        <v>2</v>
      </c>
      <c r="M28"/>
      <c r="N28"/>
    </row>
    <row r="29" spans="1:14" x14ac:dyDescent="0.35">
      <c r="A29" t="s">
        <v>36</v>
      </c>
      <c r="B29" t="s">
        <v>160</v>
      </c>
      <c r="C29" t="s">
        <v>169</v>
      </c>
      <c r="D29" t="s">
        <v>175</v>
      </c>
      <c r="E29" s="13">
        <v>41448</v>
      </c>
      <c r="F29" s="16">
        <v>42197</v>
      </c>
      <c r="G29">
        <v>3</v>
      </c>
      <c r="H29" t="s">
        <v>179</v>
      </c>
      <c r="I29" t="s">
        <v>207</v>
      </c>
      <c r="J29" s="33">
        <v>41448</v>
      </c>
      <c r="K29" s="34">
        <v>42197</v>
      </c>
      <c r="L29" s="35">
        <v>3</v>
      </c>
      <c r="M29"/>
      <c r="N29"/>
    </row>
    <row r="30" spans="1:14" x14ac:dyDescent="0.35">
      <c r="A30" t="s">
        <v>37</v>
      </c>
      <c r="B30" t="s">
        <v>161</v>
      </c>
      <c r="C30" t="s">
        <v>167</v>
      </c>
      <c r="D30" t="s">
        <v>175</v>
      </c>
      <c r="E30" s="13">
        <v>49282</v>
      </c>
      <c r="F30" s="16">
        <v>42204</v>
      </c>
      <c r="G30">
        <v>2</v>
      </c>
      <c r="H30" t="s">
        <v>181</v>
      </c>
      <c r="I30" t="s">
        <v>208</v>
      </c>
      <c r="J30" s="33">
        <v>49282</v>
      </c>
      <c r="K30" s="34">
        <v>42204</v>
      </c>
      <c r="L30" s="35">
        <v>2</v>
      </c>
      <c r="M30"/>
      <c r="N30"/>
    </row>
    <row r="31" spans="1:14" x14ac:dyDescent="0.35">
      <c r="A31" t="s">
        <v>38</v>
      </c>
      <c r="B31" t="s">
        <v>165</v>
      </c>
      <c r="C31" t="s">
        <v>170</v>
      </c>
      <c r="D31" t="s">
        <v>175</v>
      </c>
      <c r="E31" s="13">
        <v>92959</v>
      </c>
      <c r="F31" s="16">
        <v>42211</v>
      </c>
      <c r="G31">
        <v>5</v>
      </c>
      <c r="I31" t="s">
        <v>209</v>
      </c>
      <c r="J31" s="33">
        <v>92959</v>
      </c>
      <c r="K31" s="34">
        <v>42211</v>
      </c>
      <c r="L31" s="35">
        <v>5</v>
      </c>
      <c r="M31"/>
      <c r="N31"/>
    </row>
    <row r="32" spans="1:14" x14ac:dyDescent="0.35">
      <c r="A32" t="s">
        <v>39</v>
      </c>
      <c r="B32" t="s">
        <v>178</v>
      </c>
      <c r="C32" t="s">
        <v>170</v>
      </c>
      <c r="D32" t="s">
        <v>174</v>
      </c>
      <c r="E32" s="13">
        <v>92259</v>
      </c>
      <c r="F32" s="16"/>
      <c r="G32">
        <v>1</v>
      </c>
      <c r="H32" t="s">
        <v>178</v>
      </c>
      <c r="I32" t="s">
        <v>210</v>
      </c>
      <c r="J32" s="33">
        <v>92259</v>
      </c>
      <c r="K32" s="34">
        <v>42590</v>
      </c>
      <c r="L32" s="35">
        <v>1</v>
      </c>
      <c r="M32"/>
      <c r="N32"/>
    </row>
    <row r="33" spans="1:14" x14ac:dyDescent="0.35">
      <c r="A33" t="s">
        <v>40</v>
      </c>
      <c r="B33" t="s">
        <v>159</v>
      </c>
      <c r="C33" t="s">
        <v>167</v>
      </c>
      <c r="D33" t="s">
        <v>172</v>
      </c>
      <c r="E33" s="13">
        <v>92299</v>
      </c>
      <c r="F33" s="16">
        <v>42225</v>
      </c>
      <c r="G33">
        <v>3</v>
      </c>
      <c r="H33" t="s">
        <v>180</v>
      </c>
      <c r="I33" t="s">
        <v>211</v>
      </c>
      <c r="J33" s="33">
        <v>92299</v>
      </c>
      <c r="K33" s="34">
        <v>42225</v>
      </c>
      <c r="L33" s="35">
        <v>3</v>
      </c>
      <c r="M33"/>
      <c r="N33"/>
    </row>
    <row r="34" spans="1:14" x14ac:dyDescent="0.35">
      <c r="A34" t="s">
        <v>41</v>
      </c>
      <c r="B34" t="s">
        <v>163</v>
      </c>
      <c r="C34" t="s">
        <v>167</v>
      </c>
      <c r="D34" t="s">
        <v>174</v>
      </c>
      <c r="E34" s="13">
        <v>95586</v>
      </c>
      <c r="F34" s="16">
        <v>42232</v>
      </c>
      <c r="G34">
        <v>3</v>
      </c>
      <c r="H34" t="s">
        <v>179</v>
      </c>
      <c r="I34" t="s">
        <v>212</v>
      </c>
      <c r="J34" s="33">
        <v>95586</v>
      </c>
      <c r="K34" s="34">
        <v>42232</v>
      </c>
      <c r="L34" s="35">
        <v>3</v>
      </c>
      <c r="M34"/>
      <c r="N34"/>
    </row>
    <row r="35" spans="1:14" x14ac:dyDescent="0.35">
      <c r="A35" t="s">
        <v>42</v>
      </c>
      <c r="B35" t="s">
        <v>164</v>
      </c>
      <c r="C35" t="s">
        <v>170</v>
      </c>
      <c r="D35" t="s">
        <v>173</v>
      </c>
      <c r="E35" s="13">
        <v>95367</v>
      </c>
      <c r="F35" s="16">
        <v>42239</v>
      </c>
      <c r="H35" t="s">
        <v>180</v>
      </c>
      <c r="I35" t="s">
        <v>213</v>
      </c>
      <c r="J35" s="33">
        <v>95367</v>
      </c>
      <c r="K35" s="34">
        <v>42239</v>
      </c>
      <c r="L35" s="35">
        <v>3</v>
      </c>
      <c r="M35"/>
      <c r="N35"/>
    </row>
    <row r="36" spans="1:14" x14ac:dyDescent="0.35">
      <c r="A36" t="s">
        <v>43</v>
      </c>
      <c r="B36" t="s">
        <v>161</v>
      </c>
      <c r="C36" t="s">
        <v>168</v>
      </c>
      <c r="D36" t="s">
        <v>176</v>
      </c>
      <c r="E36" s="13">
        <v>79549</v>
      </c>
      <c r="F36" s="16">
        <v>42246</v>
      </c>
      <c r="G36">
        <v>3</v>
      </c>
      <c r="I36" t="s">
        <v>214</v>
      </c>
      <c r="J36" s="33">
        <v>79549</v>
      </c>
      <c r="K36" s="34">
        <v>42246</v>
      </c>
      <c r="L36" s="35">
        <v>3</v>
      </c>
      <c r="M36"/>
      <c r="N36"/>
    </row>
    <row r="37" spans="1:14" x14ac:dyDescent="0.35">
      <c r="A37" t="s">
        <v>44</v>
      </c>
      <c r="B37" t="s">
        <v>160</v>
      </c>
      <c r="C37" t="s">
        <v>170</v>
      </c>
      <c r="D37" t="s">
        <v>175</v>
      </c>
      <c r="E37" s="13">
        <v>54463</v>
      </c>
      <c r="F37" s="16">
        <v>42253</v>
      </c>
      <c r="G37">
        <v>4</v>
      </c>
      <c r="H37" t="s">
        <v>180</v>
      </c>
      <c r="I37" t="s">
        <v>182</v>
      </c>
      <c r="J37" s="33">
        <v>54463</v>
      </c>
      <c r="K37" s="34">
        <v>42253</v>
      </c>
      <c r="L37" s="35">
        <v>4</v>
      </c>
      <c r="M37"/>
      <c r="N37"/>
    </row>
    <row r="38" spans="1:14" x14ac:dyDescent="0.35">
      <c r="A38" t="s">
        <v>45</v>
      </c>
      <c r="B38" t="s">
        <v>160</v>
      </c>
      <c r="C38" t="s">
        <v>169</v>
      </c>
      <c r="D38" t="s">
        <v>173</v>
      </c>
      <c r="E38" s="13">
        <v>89781</v>
      </c>
      <c r="F38" s="16">
        <v>42260</v>
      </c>
      <c r="H38" t="s">
        <v>181</v>
      </c>
      <c r="I38" t="s">
        <v>215</v>
      </c>
      <c r="J38" s="33">
        <v>89781</v>
      </c>
      <c r="K38" s="34">
        <v>42260</v>
      </c>
      <c r="L38" s="35">
        <v>3</v>
      </c>
      <c r="M38"/>
      <c r="N38"/>
    </row>
    <row r="39" spans="1:14" x14ac:dyDescent="0.35">
      <c r="A39" t="s">
        <v>46</v>
      </c>
      <c r="B39" t="s">
        <v>160</v>
      </c>
      <c r="C39" t="s">
        <v>167</v>
      </c>
      <c r="D39" t="s">
        <v>174</v>
      </c>
      <c r="E39" s="13">
        <v>64796</v>
      </c>
      <c r="F39" s="16">
        <v>42267</v>
      </c>
      <c r="H39" t="s">
        <v>179</v>
      </c>
      <c r="I39" t="s">
        <v>216</v>
      </c>
      <c r="J39" s="33">
        <v>64796</v>
      </c>
      <c r="K39" s="34">
        <v>42267</v>
      </c>
      <c r="L39" s="35">
        <v>3</v>
      </c>
      <c r="M39"/>
      <c r="N39"/>
    </row>
    <row r="40" spans="1:14" x14ac:dyDescent="0.35">
      <c r="A40" t="s">
        <v>47</v>
      </c>
      <c r="B40" t="s">
        <v>161</v>
      </c>
      <c r="C40" t="s">
        <v>170</v>
      </c>
      <c r="D40" t="s">
        <v>175</v>
      </c>
      <c r="E40" s="13">
        <v>52093</v>
      </c>
      <c r="F40" s="16">
        <v>42274</v>
      </c>
      <c r="G40">
        <v>5</v>
      </c>
      <c r="I40" t="s">
        <v>217</v>
      </c>
      <c r="J40" s="33">
        <v>52093</v>
      </c>
      <c r="K40" s="34">
        <v>42274</v>
      </c>
      <c r="L40" s="35">
        <v>5</v>
      </c>
      <c r="M40"/>
      <c r="N40"/>
    </row>
    <row r="41" spans="1:14" x14ac:dyDescent="0.35">
      <c r="A41" t="s">
        <v>48</v>
      </c>
      <c r="B41" t="s">
        <v>164</v>
      </c>
      <c r="C41" t="s">
        <v>167</v>
      </c>
      <c r="D41" t="s">
        <v>175</v>
      </c>
      <c r="E41" s="13">
        <v>48224</v>
      </c>
      <c r="F41" s="16">
        <v>42281</v>
      </c>
      <c r="G41">
        <v>3</v>
      </c>
      <c r="I41" t="s">
        <v>218</v>
      </c>
      <c r="J41" s="33">
        <v>48224</v>
      </c>
      <c r="K41" s="34">
        <v>42281</v>
      </c>
      <c r="L41" s="35">
        <v>3</v>
      </c>
      <c r="M41"/>
      <c r="N41"/>
    </row>
    <row r="42" spans="1:14" x14ac:dyDescent="0.35">
      <c r="A42" t="s">
        <v>49</v>
      </c>
      <c r="B42" t="s">
        <v>165</v>
      </c>
      <c r="C42" t="s">
        <v>166</v>
      </c>
      <c r="D42" t="s">
        <v>175</v>
      </c>
      <c r="E42" s="13" t="s">
        <v>177</v>
      </c>
      <c r="F42" s="16"/>
      <c r="G42">
        <v>4</v>
      </c>
      <c r="H42" t="s">
        <v>181</v>
      </c>
      <c r="I42" t="s">
        <v>219</v>
      </c>
      <c r="J42" s="33">
        <v>65605</v>
      </c>
      <c r="K42" s="34">
        <v>42454.25</v>
      </c>
      <c r="L42" s="35">
        <v>4</v>
      </c>
      <c r="M42"/>
      <c r="N42"/>
    </row>
    <row r="43" spans="1:14" x14ac:dyDescent="0.35">
      <c r="A43" t="s">
        <v>50</v>
      </c>
      <c r="B43" t="s">
        <v>160</v>
      </c>
      <c r="C43" t="s">
        <v>169</v>
      </c>
      <c r="D43" t="s">
        <v>172</v>
      </c>
      <c r="E43" s="13">
        <v>33956</v>
      </c>
      <c r="F43" s="16">
        <v>42295</v>
      </c>
      <c r="I43" t="s">
        <v>220</v>
      </c>
      <c r="J43" s="33">
        <v>33956</v>
      </c>
      <c r="K43" s="34">
        <v>42295</v>
      </c>
      <c r="L43" s="35">
        <v>3</v>
      </c>
      <c r="M43"/>
      <c r="N43"/>
    </row>
    <row r="44" spans="1:14" x14ac:dyDescent="0.35">
      <c r="A44" t="s">
        <v>51</v>
      </c>
      <c r="B44" t="s">
        <v>165</v>
      </c>
      <c r="C44" t="s">
        <v>170</v>
      </c>
      <c r="D44" t="s">
        <v>176</v>
      </c>
      <c r="E44" s="13">
        <v>64913</v>
      </c>
      <c r="F44" s="16">
        <v>42302</v>
      </c>
      <c r="G44">
        <v>1</v>
      </c>
      <c r="H44" t="s">
        <v>181</v>
      </c>
      <c r="I44" t="s">
        <v>221</v>
      </c>
      <c r="J44" s="33">
        <v>64913</v>
      </c>
      <c r="K44" s="34">
        <v>42302</v>
      </c>
      <c r="L44" s="35">
        <v>1</v>
      </c>
      <c r="M44"/>
      <c r="N44"/>
    </row>
    <row r="45" spans="1:14" x14ac:dyDescent="0.35">
      <c r="A45" t="s">
        <v>52</v>
      </c>
      <c r="B45" t="s">
        <v>160</v>
      </c>
      <c r="C45" t="s">
        <v>170</v>
      </c>
      <c r="D45" t="s">
        <v>176</v>
      </c>
      <c r="E45" s="13">
        <v>35326</v>
      </c>
      <c r="F45" s="16">
        <v>42309</v>
      </c>
      <c r="H45" t="s">
        <v>181</v>
      </c>
      <c r="I45" t="s">
        <v>222</v>
      </c>
      <c r="J45" s="33">
        <v>35326</v>
      </c>
      <c r="K45" s="34">
        <v>42309</v>
      </c>
      <c r="L45" s="35">
        <v>3</v>
      </c>
      <c r="M45"/>
      <c r="N45"/>
    </row>
    <row r="46" spans="1:14" x14ac:dyDescent="0.35">
      <c r="A46" t="s">
        <v>53</v>
      </c>
      <c r="B46" t="s">
        <v>164</v>
      </c>
      <c r="C46" t="s">
        <v>166</v>
      </c>
      <c r="D46" t="s">
        <v>174</v>
      </c>
      <c r="E46" s="13">
        <v>81610</v>
      </c>
      <c r="F46" s="16">
        <v>42316</v>
      </c>
      <c r="G46">
        <v>1</v>
      </c>
      <c r="I46" t="s">
        <v>223</v>
      </c>
      <c r="J46" s="33">
        <v>81610</v>
      </c>
      <c r="K46" s="34">
        <v>42316</v>
      </c>
      <c r="L46" s="35">
        <v>1</v>
      </c>
      <c r="M46"/>
      <c r="N46"/>
    </row>
    <row r="47" spans="1:14" x14ac:dyDescent="0.35">
      <c r="A47" t="s">
        <v>54</v>
      </c>
      <c r="B47" t="s">
        <v>178</v>
      </c>
      <c r="C47" t="s">
        <v>167</v>
      </c>
      <c r="D47" t="s">
        <v>174</v>
      </c>
      <c r="E47" s="13">
        <v>58962</v>
      </c>
      <c r="F47" s="16">
        <v>42323</v>
      </c>
      <c r="G47">
        <v>3</v>
      </c>
      <c r="H47" t="s">
        <v>179</v>
      </c>
      <c r="I47" t="s">
        <v>183</v>
      </c>
      <c r="J47" s="33">
        <v>58962</v>
      </c>
      <c r="K47" s="34">
        <v>42323</v>
      </c>
      <c r="L47" s="35">
        <v>3</v>
      </c>
      <c r="M47"/>
      <c r="N47"/>
    </row>
    <row r="48" spans="1:14" x14ac:dyDescent="0.35">
      <c r="A48" t="s">
        <v>55</v>
      </c>
      <c r="B48" t="s">
        <v>164</v>
      </c>
      <c r="C48" t="s">
        <v>169</v>
      </c>
      <c r="D48" t="s">
        <v>172</v>
      </c>
      <c r="E48" s="13">
        <v>92701</v>
      </c>
      <c r="F48" s="16">
        <v>42330</v>
      </c>
      <c r="G48">
        <v>3</v>
      </c>
      <c r="H48" t="s">
        <v>179</v>
      </c>
      <c r="I48" t="s">
        <v>224</v>
      </c>
      <c r="J48" s="33">
        <v>92701</v>
      </c>
      <c r="K48" s="34">
        <v>42330</v>
      </c>
      <c r="L48" s="35">
        <v>3</v>
      </c>
      <c r="M48"/>
      <c r="N48"/>
    </row>
    <row r="49" spans="1:14" x14ac:dyDescent="0.35">
      <c r="A49" t="s">
        <v>56</v>
      </c>
      <c r="B49" t="s">
        <v>164</v>
      </c>
      <c r="C49" t="s">
        <v>167</v>
      </c>
      <c r="D49" t="s">
        <v>174</v>
      </c>
      <c r="E49" s="13">
        <v>58245</v>
      </c>
      <c r="F49" s="16">
        <v>42337</v>
      </c>
      <c r="G49">
        <v>4</v>
      </c>
      <c r="I49" t="s">
        <v>225</v>
      </c>
      <c r="J49" s="33">
        <v>58245</v>
      </c>
      <c r="K49" s="34">
        <v>42337</v>
      </c>
      <c r="L49" s="35">
        <v>4</v>
      </c>
      <c r="M49"/>
      <c r="N49"/>
    </row>
    <row r="50" spans="1:14" x14ac:dyDescent="0.35">
      <c r="A50" t="s">
        <v>57</v>
      </c>
      <c r="B50" t="s">
        <v>161</v>
      </c>
      <c r="C50" t="s">
        <v>166</v>
      </c>
      <c r="D50" t="s">
        <v>174</v>
      </c>
      <c r="E50" s="13">
        <v>66513</v>
      </c>
      <c r="F50" s="16">
        <v>42344</v>
      </c>
      <c r="G50">
        <v>2</v>
      </c>
      <c r="H50" t="s">
        <v>179</v>
      </c>
      <c r="I50" t="s">
        <v>187</v>
      </c>
      <c r="J50" s="33">
        <v>66513</v>
      </c>
      <c r="K50" s="34">
        <v>42344</v>
      </c>
      <c r="L50" s="35">
        <v>2</v>
      </c>
      <c r="M50"/>
      <c r="N50"/>
    </row>
    <row r="51" spans="1:14" x14ac:dyDescent="0.35">
      <c r="A51" t="s">
        <v>58</v>
      </c>
      <c r="B51" t="s">
        <v>159</v>
      </c>
      <c r="C51" t="s">
        <v>167</v>
      </c>
      <c r="D51" t="s">
        <v>172</v>
      </c>
      <c r="E51" s="13">
        <v>78720</v>
      </c>
      <c r="F51" s="16">
        <v>42351</v>
      </c>
      <c r="G51">
        <v>5</v>
      </c>
      <c r="H51" t="s">
        <v>181</v>
      </c>
      <c r="I51" t="s">
        <v>219</v>
      </c>
      <c r="J51" s="33">
        <v>78720</v>
      </c>
      <c r="K51" s="34">
        <v>42351</v>
      </c>
      <c r="L51" s="35">
        <v>5</v>
      </c>
      <c r="M51"/>
      <c r="N51"/>
    </row>
    <row r="52" spans="1:14" x14ac:dyDescent="0.35">
      <c r="A52" t="s">
        <v>59</v>
      </c>
      <c r="B52" t="s">
        <v>164</v>
      </c>
      <c r="C52" t="s">
        <v>170</v>
      </c>
      <c r="D52" t="s">
        <v>174</v>
      </c>
      <c r="E52" s="13">
        <v>30686</v>
      </c>
      <c r="F52" s="16"/>
      <c r="G52">
        <v>2</v>
      </c>
      <c r="H52" t="s">
        <v>181</v>
      </c>
      <c r="I52" t="s">
        <v>226</v>
      </c>
      <c r="J52" s="33">
        <v>30686</v>
      </c>
      <c r="K52" s="34">
        <v>42590</v>
      </c>
      <c r="L52" s="35">
        <v>2</v>
      </c>
      <c r="M52"/>
      <c r="N52"/>
    </row>
    <row r="53" spans="1:14" x14ac:dyDescent="0.35">
      <c r="A53" t="s">
        <v>60</v>
      </c>
      <c r="B53" t="s">
        <v>163</v>
      </c>
      <c r="C53" t="s">
        <v>168</v>
      </c>
      <c r="D53" t="s">
        <v>174</v>
      </c>
      <c r="E53" s="13">
        <v>39423</v>
      </c>
      <c r="F53" s="16">
        <v>42365</v>
      </c>
      <c r="G53">
        <v>5</v>
      </c>
      <c r="I53" t="s">
        <v>227</v>
      </c>
      <c r="J53" s="33">
        <v>39423</v>
      </c>
      <c r="K53" s="34">
        <v>42365</v>
      </c>
      <c r="L53" s="35">
        <v>5</v>
      </c>
      <c r="M53"/>
      <c r="N53"/>
    </row>
    <row r="54" spans="1:14" x14ac:dyDescent="0.35">
      <c r="A54" t="s">
        <v>61</v>
      </c>
      <c r="B54" t="s">
        <v>159</v>
      </c>
      <c r="C54" t="s">
        <v>170</v>
      </c>
      <c r="D54" t="s">
        <v>174</v>
      </c>
      <c r="E54" s="13">
        <v>30280</v>
      </c>
      <c r="F54" s="16">
        <v>42372</v>
      </c>
      <c r="G54">
        <v>1</v>
      </c>
      <c r="I54" t="s">
        <v>228</v>
      </c>
      <c r="J54" s="33">
        <v>30280</v>
      </c>
      <c r="K54" s="34">
        <v>42372</v>
      </c>
      <c r="L54" s="35">
        <v>1</v>
      </c>
      <c r="M54"/>
      <c r="N54"/>
    </row>
    <row r="55" spans="1:14" x14ac:dyDescent="0.35">
      <c r="A55" t="s">
        <v>62</v>
      </c>
      <c r="B55" t="s">
        <v>159</v>
      </c>
      <c r="C55" t="s">
        <v>166</v>
      </c>
      <c r="D55" t="s">
        <v>175</v>
      </c>
      <c r="E55" s="13">
        <v>33352</v>
      </c>
      <c r="F55" s="16">
        <v>42379</v>
      </c>
      <c r="G55">
        <v>3</v>
      </c>
      <c r="H55" t="s">
        <v>181</v>
      </c>
      <c r="I55" t="s">
        <v>200</v>
      </c>
      <c r="J55" s="33">
        <v>33352</v>
      </c>
      <c r="K55" s="34">
        <v>42379</v>
      </c>
      <c r="L55" s="35">
        <v>3</v>
      </c>
      <c r="M55"/>
      <c r="N55"/>
    </row>
    <row r="56" spans="1:14" x14ac:dyDescent="0.35">
      <c r="A56" t="s">
        <v>63</v>
      </c>
      <c r="B56" t="s">
        <v>165</v>
      </c>
      <c r="C56" t="s">
        <v>170</v>
      </c>
      <c r="D56" t="s">
        <v>175</v>
      </c>
      <c r="E56" s="13">
        <v>75633</v>
      </c>
      <c r="F56" s="16">
        <v>42386</v>
      </c>
      <c r="G56">
        <v>5</v>
      </c>
      <c r="H56" t="s">
        <v>179</v>
      </c>
      <c r="I56" t="s">
        <v>229</v>
      </c>
      <c r="J56" s="33">
        <v>75633</v>
      </c>
      <c r="K56" s="34">
        <v>42386</v>
      </c>
      <c r="L56" s="35">
        <v>5</v>
      </c>
      <c r="M56"/>
      <c r="N56"/>
    </row>
    <row r="57" spans="1:14" x14ac:dyDescent="0.35">
      <c r="A57" t="s">
        <v>64</v>
      </c>
      <c r="B57" t="s">
        <v>164</v>
      </c>
      <c r="C57" t="s">
        <v>170</v>
      </c>
      <c r="D57" t="s">
        <v>173</v>
      </c>
      <c r="E57" s="13">
        <v>74815</v>
      </c>
      <c r="F57" s="16">
        <v>42393</v>
      </c>
      <c r="G57">
        <v>5</v>
      </c>
      <c r="H57" t="s">
        <v>181</v>
      </c>
      <c r="I57" t="s">
        <v>230</v>
      </c>
      <c r="J57" s="33">
        <v>74815</v>
      </c>
      <c r="K57" s="34">
        <v>42393</v>
      </c>
      <c r="L57" s="35">
        <v>5</v>
      </c>
      <c r="M57"/>
      <c r="N57"/>
    </row>
    <row r="58" spans="1:14" x14ac:dyDescent="0.35">
      <c r="A58" t="s">
        <v>65</v>
      </c>
      <c r="B58" t="s">
        <v>161</v>
      </c>
      <c r="C58" t="s">
        <v>168</v>
      </c>
      <c r="D58" t="s">
        <v>176</v>
      </c>
      <c r="E58" s="13">
        <v>60011</v>
      </c>
      <c r="F58" s="16">
        <v>42400</v>
      </c>
      <c r="G58">
        <v>1</v>
      </c>
      <c r="H58" t="s">
        <v>180</v>
      </c>
      <c r="I58" t="s">
        <v>231</v>
      </c>
      <c r="J58" s="33">
        <v>60011</v>
      </c>
      <c r="K58" s="34">
        <v>42400</v>
      </c>
      <c r="L58" s="35">
        <v>1</v>
      </c>
      <c r="M58"/>
      <c r="N58"/>
    </row>
    <row r="59" spans="1:14" x14ac:dyDescent="0.35">
      <c r="A59" t="s">
        <v>66</v>
      </c>
      <c r="B59" t="s">
        <v>159</v>
      </c>
      <c r="C59" t="s">
        <v>170</v>
      </c>
      <c r="D59" t="s">
        <v>174</v>
      </c>
      <c r="E59" s="13">
        <v>96949</v>
      </c>
      <c r="F59" s="16">
        <v>42407</v>
      </c>
      <c r="G59">
        <v>3</v>
      </c>
      <c r="I59" t="s">
        <v>207</v>
      </c>
      <c r="J59" s="33">
        <v>96949</v>
      </c>
      <c r="K59" s="34">
        <v>42407</v>
      </c>
      <c r="L59" s="35">
        <v>3</v>
      </c>
      <c r="M59"/>
      <c r="N59"/>
    </row>
    <row r="60" spans="1:14" x14ac:dyDescent="0.35">
      <c r="A60" t="s">
        <v>67</v>
      </c>
      <c r="B60" t="s">
        <v>163</v>
      </c>
      <c r="C60" t="s">
        <v>170</v>
      </c>
      <c r="D60" t="s">
        <v>174</v>
      </c>
      <c r="E60" s="13">
        <v>84924</v>
      </c>
      <c r="F60" s="16">
        <v>42414</v>
      </c>
      <c r="G60">
        <v>5</v>
      </c>
      <c r="H60" t="s">
        <v>180</v>
      </c>
      <c r="I60" t="s">
        <v>232</v>
      </c>
      <c r="J60" s="33">
        <v>84924</v>
      </c>
      <c r="K60" s="34">
        <v>42414</v>
      </c>
      <c r="L60" s="35">
        <v>5</v>
      </c>
      <c r="M60"/>
      <c r="N60"/>
    </row>
    <row r="61" spans="1:14" x14ac:dyDescent="0.35">
      <c r="A61" t="s">
        <v>68</v>
      </c>
      <c r="B61" t="s">
        <v>163</v>
      </c>
      <c r="C61" t="s">
        <v>166</v>
      </c>
      <c r="D61" t="s">
        <v>173</v>
      </c>
      <c r="E61" s="13">
        <v>82033</v>
      </c>
      <c r="F61" s="16">
        <v>42421</v>
      </c>
      <c r="G61">
        <v>1</v>
      </c>
      <c r="I61" t="s">
        <v>223</v>
      </c>
      <c r="J61" s="33">
        <v>82033</v>
      </c>
      <c r="K61" s="34">
        <v>42421</v>
      </c>
      <c r="L61" s="35">
        <v>1</v>
      </c>
      <c r="M61"/>
      <c r="N61"/>
    </row>
    <row r="62" spans="1:14" x14ac:dyDescent="0.35">
      <c r="A62" t="s">
        <v>69</v>
      </c>
      <c r="B62" t="s">
        <v>178</v>
      </c>
      <c r="C62" t="s">
        <v>170</v>
      </c>
      <c r="D62" t="s">
        <v>172</v>
      </c>
      <c r="E62" s="13" t="s">
        <v>177</v>
      </c>
      <c r="F62" s="16"/>
      <c r="G62">
        <v>5</v>
      </c>
      <c r="H62" t="s">
        <v>178</v>
      </c>
      <c r="I62" t="s">
        <v>233</v>
      </c>
      <c r="J62" s="33">
        <v>65072</v>
      </c>
      <c r="K62" s="34">
        <v>42590</v>
      </c>
      <c r="L62" s="35">
        <v>5</v>
      </c>
      <c r="M62"/>
      <c r="N62"/>
    </row>
    <row r="63" spans="1:14" x14ac:dyDescent="0.35">
      <c r="A63" t="s">
        <v>70</v>
      </c>
      <c r="B63" t="s">
        <v>159</v>
      </c>
      <c r="C63" t="s">
        <v>170</v>
      </c>
      <c r="D63" t="s">
        <v>176</v>
      </c>
      <c r="E63" s="13">
        <v>31499</v>
      </c>
      <c r="F63" s="16">
        <v>42435</v>
      </c>
      <c r="G63">
        <v>2</v>
      </c>
      <c r="I63" t="s">
        <v>215</v>
      </c>
      <c r="J63" s="33">
        <v>31499</v>
      </c>
      <c r="K63" s="34">
        <v>42435</v>
      </c>
      <c r="L63" s="35">
        <v>2</v>
      </c>
      <c r="M63"/>
      <c r="N63"/>
    </row>
    <row r="64" spans="1:14" x14ac:dyDescent="0.35">
      <c r="A64" t="s">
        <v>71</v>
      </c>
      <c r="B64" t="s">
        <v>164</v>
      </c>
      <c r="C64" t="s">
        <v>169</v>
      </c>
      <c r="D64" t="s">
        <v>175</v>
      </c>
      <c r="E64" s="13">
        <v>97981</v>
      </c>
      <c r="F64" s="16">
        <v>42442</v>
      </c>
      <c r="G64">
        <v>5</v>
      </c>
      <c r="H64" t="s">
        <v>181</v>
      </c>
      <c r="I64" t="s">
        <v>234</v>
      </c>
      <c r="J64" s="33">
        <v>97981</v>
      </c>
      <c r="K64" s="34">
        <v>42442</v>
      </c>
      <c r="L64" s="35">
        <v>5</v>
      </c>
      <c r="M64"/>
      <c r="N64"/>
    </row>
    <row r="65" spans="1:14" x14ac:dyDescent="0.35">
      <c r="A65" t="s">
        <v>72</v>
      </c>
      <c r="B65" t="s">
        <v>159</v>
      </c>
      <c r="C65" t="s">
        <v>167</v>
      </c>
      <c r="D65" t="s">
        <v>173</v>
      </c>
      <c r="E65" s="13">
        <v>36541</v>
      </c>
      <c r="F65" s="16">
        <v>42449</v>
      </c>
      <c r="G65">
        <v>2</v>
      </c>
      <c r="H65" t="s">
        <v>179</v>
      </c>
      <c r="I65" t="s">
        <v>235</v>
      </c>
      <c r="J65" s="33">
        <v>36541</v>
      </c>
      <c r="K65" s="34">
        <v>42449</v>
      </c>
      <c r="L65" s="35">
        <v>2</v>
      </c>
      <c r="M65"/>
      <c r="N65"/>
    </row>
    <row r="66" spans="1:14" x14ac:dyDescent="0.35">
      <c r="A66" t="s">
        <v>73</v>
      </c>
      <c r="B66" t="s">
        <v>161</v>
      </c>
      <c r="C66" t="s">
        <v>169</v>
      </c>
      <c r="D66" t="s">
        <v>174</v>
      </c>
      <c r="E66" s="13">
        <v>84737</v>
      </c>
      <c r="F66" s="16">
        <v>42456</v>
      </c>
      <c r="G66">
        <v>1</v>
      </c>
      <c r="H66" t="s">
        <v>180</v>
      </c>
      <c r="I66" t="s">
        <v>236</v>
      </c>
      <c r="J66" s="33">
        <v>84737</v>
      </c>
      <c r="K66" s="34">
        <v>42456</v>
      </c>
      <c r="L66" s="35">
        <v>1</v>
      </c>
      <c r="M66"/>
      <c r="N66"/>
    </row>
    <row r="67" spans="1:14" x14ac:dyDescent="0.35">
      <c r="A67" t="s">
        <v>74</v>
      </c>
      <c r="B67" t="s">
        <v>163</v>
      </c>
      <c r="C67" t="s">
        <v>166</v>
      </c>
      <c r="D67" t="s">
        <v>174</v>
      </c>
      <c r="E67" s="13">
        <v>33468</v>
      </c>
      <c r="F67" s="16">
        <v>42463</v>
      </c>
      <c r="G67">
        <v>4</v>
      </c>
      <c r="H67" t="s">
        <v>180</v>
      </c>
      <c r="I67" t="s">
        <v>237</v>
      </c>
      <c r="J67" s="33">
        <v>33468</v>
      </c>
      <c r="K67" s="34">
        <v>42463</v>
      </c>
      <c r="L67" s="35">
        <v>4</v>
      </c>
      <c r="M67"/>
      <c r="N67"/>
    </row>
    <row r="68" spans="1:14" x14ac:dyDescent="0.35">
      <c r="A68" t="s">
        <v>75</v>
      </c>
      <c r="B68" t="s">
        <v>163</v>
      </c>
      <c r="C68" t="s">
        <v>170</v>
      </c>
      <c r="D68" t="s">
        <v>176</v>
      </c>
      <c r="E68" s="13">
        <v>96365</v>
      </c>
      <c r="F68" s="16">
        <v>42470</v>
      </c>
      <c r="G68">
        <v>3</v>
      </c>
      <c r="H68" t="s">
        <v>179</v>
      </c>
      <c r="I68" t="s">
        <v>238</v>
      </c>
      <c r="J68" s="33">
        <v>96365</v>
      </c>
      <c r="K68" s="34">
        <v>42470</v>
      </c>
      <c r="L68" s="35">
        <v>3</v>
      </c>
      <c r="M68"/>
      <c r="N68"/>
    </row>
    <row r="69" spans="1:14" x14ac:dyDescent="0.35">
      <c r="A69" t="s">
        <v>76</v>
      </c>
      <c r="B69" t="s">
        <v>160</v>
      </c>
      <c r="C69" t="s">
        <v>168</v>
      </c>
      <c r="D69" t="s">
        <v>174</v>
      </c>
      <c r="E69" s="13">
        <v>61942</v>
      </c>
      <c r="F69" s="16">
        <v>42477</v>
      </c>
      <c r="G69">
        <v>3</v>
      </c>
      <c r="H69" t="s">
        <v>181</v>
      </c>
      <c r="I69" t="s">
        <v>239</v>
      </c>
      <c r="J69" s="33">
        <v>61942</v>
      </c>
      <c r="K69" s="34">
        <v>42477</v>
      </c>
      <c r="L69" s="35">
        <v>3</v>
      </c>
      <c r="M69"/>
      <c r="N69"/>
    </row>
    <row r="70" spans="1:14" x14ac:dyDescent="0.35">
      <c r="A70" t="s">
        <v>77</v>
      </c>
      <c r="B70" t="s">
        <v>163</v>
      </c>
      <c r="C70" t="s">
        <v>166</v>
      </c>
      <c r="D70" t="s">
        <v>175</v>
      </c>
      <c r="E70" s="13">
        <v>41467</v>
      </c>
      <c r="F70" s="16">
        <v>42484</v>
      </c>
      <c r="G70">
        <v>2</v>
      </c>
      <c r="I70" t="s">
        <v>201</v>
      </c>
      <c r="J70" s="33">
        <v>41467</v>
      </c>
      <c r="K70" s="34">
        <v>42484</v>
      </c>
      <c r="L70" s="35">
        <v>2</v>
      </c>
      <c r="M70"/>
      <c r="N70"/>
    </row>
    <row r="71" spans="1:14" x14ac:dyDescent="0.35">
      <c r="A71" t="s">
        <v>78</v>
      </c>
      <c r="B71" t="s">
        <v>165</v>
      </c>
      <c r="C71" t="s">
        <v>166</v>
      </c>
      <c r="D71" t="s">
        <v>174</v>
      </c>
      <c r="E71" s="13">
        <v>77096</v>
      </c>
      <c r="F71" s="16">
        <v>42491</v>
      </c>
      <c r="G71">
        <v>1</v>
      </c>
      <c r="I71" t="s">
        <v>240</v>
      </c>
      <c r="J71" s="33">
        <v>77096</v>
      </c>
      <c r="K71" s="34">
        <v>42491</v>
      </c>
      <c r="L71" s="35">
        <v>1</v>
      </c>
      <c r="M71"/>
      <c r="N71"/>
    </row>
    <row r="72" spans="1:14" x14ac:dyDescent="0.35">
      <c r="A72" t="s">
        <v>79</v>
      </c>
      <c r="B72" t="s">
        <v>159</v>
      </c>
      <c r="C72" t="s">
        <v>168</v>
      </c>
      <c r="D72" t="s">
        <v>176</v>
      </c>
      <c r="E72" s="13">
        <v>69952</v>
      </c>
      <c r="F72" s="16">
        <v>42498</v>
      </c>
      <c r="G72">
        <v>5</v>
      </c>
      <c r="H72" t="s">
        <v>181</v>
      </c>
      <c r="I72" t="s">
        <v>182</v>
      </c>
      <c r="J72" s="33">
        <v>69952</v>
      </c>
      <c r="K72" s="34">
        <v>42498</v>
      </c>
      <c r="L72" s="35">
        <v>5</v>
      </c>
      <c r="M72"/>
      <c r="N72"/>
    </row>
    <row r="73" spans="1:14" x14ac:dyDescent="0.35">
      <c r="A73" t="s">
        <v>80</v>
      </c>
      <c r="B73" t="s">
        <v>159</v>
      </c>
      <c r="C73" t="s">
        <v>170</v>
      </c>
      <c r="D73" t="s">
        <v>173</v>
      </c>
      <c r="E73" s="13">
        <v>85065</v>
      </c>
      <c r="F73" s="16">
        <v>42505</v>
      </c>
      <c r="G73">
        <v>3</v>
      </c>
      <c r="I73" t="s">
        <v>241</v>
      </c>
      <c r="J73" s="33">
        <v>85065</v>
      </c>
      <c r="K73" s="34">
        <v>42505</v>
      </c>
      <c r="L73" s="35">
        <v>3</v>
      </c>
      <c r="M73"/>
      <c r="N73"/>
    </row>
    <row r="74" spans="1:14" x14ac:dyDescent="0.35">
      <c r="A74" t="s">
        <v>81</v>
      </c>
      <c r="B74" t="s">
        <v>165</v>
      </c>
      <c r="C74" t="s">
        <v>170</v>
      </c>
      <c r="D74" t="s">
        <v>174</v>
      </c>
      <c r="E74" s="13">
        <v>56512</v>
      </c>
      <c r="F74" s="16">
        <v>42512</v>
      </c>
      <c r="H74" t="s">
        <v>179</v>
      </c>
      <c r="I74" t="s">
        <v>190</v>
      </c>
      <c r="J74" s="33">
        <v>56512</v>
      </c>
      <c r="K74" s="34">
        <v>42512</v>
      </c>
      <c r="L74" s="35">
        <v>3</v>
      </c>
      <c r="M74"/>
      <c r="N74"/>
    </row>
    <row r="75" spans="1:14" x14ac:dyDescent="0.35">
      <c r="A75" t="s">
        <v>82</v>
      </c>
      <c r="B75" t="s">
        <v>161</v>
      </c>
      <c r="C75" t="s">
        <v>168</v>
      </c>
      <c r="D75" t="s">
        <v>174</v>
      </c>
      <c r="E75" s="13">
        <v>91101</v>
      </c>
      <c r="F75" s="16">
        <v>42519</v>
      </c>
      <c r="G75">
        <v>4</v>
      </c>
      <c r="H75" t="s">
        <v>181</v>
      </c>
      <c r="I75" t="s">
        <v>234</v>
      </c>
      <c r="J75" s="33">
        <v>91101</v>
      </c>
      <c r="K75" s="34">
        <v>42519</v>
      </c>
      <c r="L75" s="35">
        <v>4</v>
      </c>
      <c r="M75"/>
      <c r="N75"/>
    </row>
    <row r="76" spans="1:14" x14ac:dyDescent="0.35">
      <c r="A76" t="s">
        <v>83</v>
      </c>
      <c r="B76" t="s">
        <v>163</v>
      </c>
      <c r="C76" t="s">
        <v>170</v>
      </c>
      <c r="D76" t="s">
        <v>172</v>
      </c>
      <c r="E76" s="13">
        <v>41243</v>
      </c>
      <c r="F76" s="16">
        <v>42526</v>
      </c>
      <c r="I76" t="s">
        <v>211</v>
      </c>
      <c r="J76" s="33">
        <v>41243</v>
      </c>
      <c r="K76" s="34">
        <v>42526</v>
      </c>
      <c r="L76" s="35">
        <v>3</v>
      </c>
      <c r="M76"/>
      <c r="N76"/>
    </row>
    <row r="77" spans="1:14" x14ac:dyDescent="0.35">
      <c r="A77" t="s">
        <v>84</v>
      </c>
      <c r="B77" t="s">
        <v>178</v>
      </c>
      <c r="C77" t="s">
        <v>168</v>
      </c>
      <c r="D77" t="s">
        <v>174</v>
      </c>
      <c r="E77" s="13">
        <v>96142</v>
      </c>
      <c r="F77" s="16">
        <v>42533</v>
      </c>
      <c r="G77">
        <v>1</v>
      </c>
      <c r="H77" t="s">
        <v>179</v>
      </c>
      <c r="I77" t="s">
        <v>242</v>
      </c>
      <c r="J77" s="33">
        <v>96142</v>
      </c>
      <c r="K77" s="34">
        <v>42533</v>
      </c>
      <c r="L77" s="35">
        <v>1</v>
      </c>
      <c r="M77"/>
      <c r="N77"/>
    </row>
    <row r="78" spans="1:14" x14ac:dyDescent="0.35">
      <c r="A78" t="s">
        <v>85</v>
      </c>
      <c r="B78" t="s">
        <v>159</v>
      </c>
      <c r="C78" t="s">
        <v>169</v>
      </c>
      <c r="D78" t="s">
        <v>174</v>
      </c>
      <c r="E78" s="13">
        <v>94301</v>
      </c>
      <c r="F78" s="16">
        <v>42540</v>
      </c>
      <c r="G78">
        <v>1</v>
      </c>
      <c r="H78" t="s">
        <v>180</v>
      </c>
      <c r="I78" t="s">
        <v>223</v>
      </c>
      <c r="J78" s="33">
        <v>94301</v>
      </c>
      <c r="K78" s="34">
        <v>42540</v>
      </c>
      <c r="L78" s="35">
        <v>1</v>
      </c>
      <c r="M78"/>
      <c r="N78"/>
    </row>
    <row r="79" spans="1:14" x14ac:dyDescent="0.35">
      <c r="A79" t="s">
        <v>86</v>
      </c>
      <c r="B79" t="s">
        <v>162</v>
      </c>
      <c r="C79" t="s">
        <v>170</v>
      </c>
      <c r="D79" t="s">
        <v>175</v>
      </c>
      <c r="E79" s="13">
        <v>69166</v>
      </c>
      <c r="F79" s="16">
        <v>42547</v>
      </c>
      <c r="G79">
        <v>1</v>
      </c>
      <c r="H79" t="s">
        <v>181</v>
      </c>
      <c r="I79" t="s">
        <v>243</v>
      </c>
      <c r="J79" s="33">
        <v>69166</v>
      </c>
      <c r="K79" s="34">
        <v>42547</v>
      </c>
      <c r="L79" s="35">
        <v>1</v>
      </c>
      <c r="M79"/>
      <c r="N79"/>
    </row>
    <row r="80" spans="1:14" x14ac:dyDescent="0.35">
      <c r="A80" t="s">
        <v>87</v>
      </c>
      <c r="B80" t="s">
        <v>163</v>
      </c>
      <c r="C80" t="s">
        <v>170</v>
      </c>
      <c r="D80" t="s">
        <v>175</v>
      </c>
      <c r="E80" s="13">
        <v>78245</v>
      </c>
      <c r="F80" s="16">
        <v>42554</v>
      </c>
      <c r="G80">
        <v>2</v>
      </c>
      <c r="I80" t="s">
        <v>244</v>
      </c>
      <c r="J80" s="33">
        <v>78245</v>
      </c>
      <c r="K80" s="34">
        <v>42554</v>
      </c>
      <c r="L80" s="35">
        <v>2</v>
      </c>
      <c r="M80"/>
      <c r="N80"/>
    </row>
    <row r="81" spans="1:14" x14ac:dyDescent="0.35">
      <c r="A81" t="s">
        <v>88</v>
      </c>
      <c r="B81" t="s">
        <v>164</v>
      </c>
      <c r="C81" t="s">
        <v>168</v>
      </c>
      <c r="D81" t="s">
        <v>173</v>
      </c>
      <c r="E81" s="13">
        <v>66079</v>
      </c>
      <c r="F81" s="16">
        <v>42561</v>
      </c>
      <c r="G81">
        <v>2</v>
      </c>
      <c r="H81" t="s">
        <v>179</v>
      </c>
      <c r="I81" t="s">
        <v>245</v>
      </c>
      <c r="J81" s="33">
        <v>66079</v>
      </c>
      <c r="K81" s="34">
        <v>42561</v>
      </c>
      <c r="L81" s="35">
        <v>2</v>
      </c>
      <c r="M81"/>
      <c r="N81"/>
    </row>
    <row r="82" spans="1:14" x14ac:dyDescent="0.35">
      <c r="A82" t="s">
        <v>89</v>
      </c>
      <c r="B82" t="s">
        <v>159</v>
      </c>
      <c r="C82" t="s">
        <v>170</v>
      </c>
      <c r="D82" t="s">
        <v>174</v>
      </c>
      <c r="E82" s="13" t="s">
        <v>177</v>
      </c>
      <c r="F82" s="16"/>
      <c r="I82" t="s">
        <v>208</v>
      </c>
      <c r="J82" s="33">
        <v>65072</v>
      </c>
      <c r="K82" s="34">
        <v>42590</v>
      </c>
      <c r="L82" s="35">
        <v>3</v>
      </c>
      <c r="M82"/>
      <c r="N82"/>
    </row>
    <row r="83" spans="1:14" x14ac:dyDescent="0.35">
      <c r="A83" t="s">
        <v>90</v>
      </c>
      <c r="B83" t="s">
        <v>162</v>
      </c>
      <c r="C83" t="s">
        <v>168</v>
      </c>
      <c r="D83" t="s">
        <v>173</v>
      </c>
      <c r="E83" s="13">
        <v>95621</v>
      </c>
      <c r="F83" s="16">
        <v>42575</v>
      </c>
      <c r="G83">
        <v>3</v>
      </c>
      <c r="H83" t="s">
        <v>181</v>
      </c>
      <c r="I83" t="s">
        <v>246</v>
      </c>
      <c r="J83" s="33">
        <v>95621</v>
      </c>
      <c r="K83" s="34">
        <v>42575</v>
      </c>
      <c r="L83" s="35">
        <v>3</v>
      </c>
      <c r="M83"/>
      <c r="N83"/>
    </row>
    <row r="84" spans="1:14" x14ac:dyDescent="0.35">
      <c r="A84" t="s">
        <v>91</v>
      </c>
      <c r="B84" t="s">
        <v>159</v>
      </c>
      <c r="C84" t="s">
        <v>169</v>
      </c>
      <c r="D84" t="s">
        <v>175</v>
      </c>
      <c r="E84" s="13">
        <v>42262</v>
      </c>
      <c r="F84" s="16">
        <v>42582</v>
      </c>
      <c r="G84">
        <v>1</v>
      </c>
      <c r="I84" t="s">
        <v>247</v>
      </c>
      <c r="J84" s="33">
        <v>42262</v>
      </c>
      <c r="K84" s="34">
        <v>42582</v>
      </c>
      <c r="L84" s="35">
        <v>1</v>
      </c>
      <c r="M84"/>
      <c r="N84"/>
    </row>
    <row r="85" spans="1:14" x14ac:dyDescent="0.35">
      <c r="A85" t="s">
        <v>92</v>
      </c>
      <c r="B85" t="s">
        <v>163</v>
      </c>
      <c r="C85" t="s">
        <v>168</v>
      </c>
      <c r="D85" t="s">
        <v>174</v>
      </c>
      <c r="E85" s="13">
        <v>99621</v>
      </c>
      <c r="F85" s="16">
        <v>42589</v>
      </c>
      <c r="H85" t="s">
        <v>179</v>
      </c>
      <c r="I85" t="s">
        <v>248</v>
      </c>
      <c r="J85" s="33">
        <v>99621</v>
      </c>
      <c r="K85" s="34">
        <v>42589</v>
      </c>
      <c r="L85" s="35">
        <v>3</v>
      </c>
      <c r="M85"/>
      <c r="N85"/>
    </row>
    <row r="86" spans="1:14" x14ac:dyDescent="0.35">
      <c r="A86" t="s">
        <v>93</v>
      </c>
      <c r="B86" t="s">
        <v>161</v>
      </c>
      <c r="C86" t="s">
        <v>170</v>
      </c>
      <c r="D86" t="s">
        <v>174</v>
      </c>
      <c r="E86" s="13">
        <v>44682</v>
      </c>
      <c r="F86" s="16">
        <v>42596</v>
      </c>
      <c r="G86">
        <v>4</v>
      </c>
      <c r="H86" t="s">
        <v>181</v>
      </c>
      <c r="I86" t="s">
        <v>220</v>
      </c>
      <c r="J86" s="33">
        <v>44682</v>
      </c>
      <c r="K86" s="34">
        <v>42596</v>
      </c>
      <c r="L86" s="35">
        <v>4</v>
      </c>
      <c r="M86"/>
      <c r="N86"/>
    </row>
    <row r="87" spans="1:14" x14ac:dyDescent="0.35">
      <c r="A87" t="s">
        <v>94</v>
      </c>
      <c r="B87" t="s">
        <v>164</v>
      </c>
      <c r="C87" t="s">
        <v>166</v>
      </c>
      <c r="D87" t="s">
        <v>174</v>
      </c>
      <c r="E87" s="13">
        <v>35163</v>
      </c>
      <c r="F87" s="16">
        <v>42603</v>
      </c>
      <c r="G87">
        <v>5</v>
      </c>
      <c r="H87" t="s">
        <v>179</v>
      </c>
      <c r="I87" t="s">
        <v>249</v>
      </c>
      <c r="J87" s="33">
        <v>35163</v>
      </c>
      <c r="K87" s="34">
        <v>42603</v>
      </c>
      <c r="L87" s="35">
        <v>5</v>
      </c>
      <c r="M87"/>
      <c r="N87"/>
    </row>
    <row r="88" spans="1:14" x14ac:dyDescent="0.35">
      <c r="A88" t="s">
        <v>95</v>
      </c>
      <c r="B88" t="s">
        <v>164</v>
      </c>
      <c r="C88" t="s">
        <v>169</v>
      </c>
      <c r="D88" t="s">
        <v>174</v>
      </c>
      <c r="E88" s="13">
        <v>33483</v>
      </c>
      <c r="F88" s="16">
        <v>42610</v>
      </c>
      <c r="G88">
        <v>4</v>
      </c>
      <c r="H88" t="s">
        <v>180</v>
      </c>
      <c r="I88" t="s">
        <v>250</v>
      </c>
      <c r="J88" s="33">
        <v>33483</v>
      </c>
      <c r="K88" s="34">
        <v>42610</v>
      </c>
      <c r="L88" s="35">
        <v>4</v>
      </c>
      <c r="M88"/>
      <c r="N88"/>
    </row>
    <row r="89" spans="1:14" x14ac:dyDescent="0.35">
      <c r="A89" t="s">
        <v>96</v>
      </c>
      <c r="B89" t="s">
        <v>163</v>
      </c>
      <c r="C89" t="s">
        <v>167</v>
      </c>
      <c r="D89" t="s">
        <v>172</v>
      </c>
      <c r="E89" s="13">
        <v>55303</v>
      </c>
      <c r="F89" s="16">
        <v>42617</v>
      </c>
      <c r="G89">
        <v>4</v>
      </c>
      <c r="H89" t="s">
        <v>180</v>
      </c>
      <c r="I89" t="s">
        <v>203</v>
      </c>
      <c r="J89" s="33">
        <v>55303</v>
      </c>
      <c r="K89" s="34">
        <v>42617</v>
      </c>
      <c r="L89" s="35">
        <v>4</v>
      </c>
      <c r="M89"/>
      <c r="N89"/>
    </row>
    <row r="90" spans="1:14" x14ac:dyDescent="0.35">
      <c r="A90" t="s">
        <v>97</v>
      </c>
      <c r="B90" t="s">
        <v>164</v>
      </c>
      <c r="C90" t="s">
        <v>169</v>
      </c>
      <c r="D90" t="s">
        <v>174</v>
      </c>
      <c r="E90" s="13">
        <v>63434</v>
      </c>
      <c r="F90" s="16">
        <v>42624</v>
      </c>
      <c r="G90">
        <v>3</v>
      </c>
      <c r="I90" t="s">
        <v>251</v>
      </c>
      <c r="J90" s="33">
        <v>63434</v>
      </c>
      <c r="K90" s="34">
        <v>42624</v>
      </c>
      <c r="L90" s="35">
        <v>3</v>
      </c>
      <c r="M90"/>
      <c r="N90"/>
    </row>
    <row r="91" spans="1:14" x14ac:dyDescent="0.35">
      <c r="A91" t="s">
        <v>98</v>
      </c>
      <c r="B91" t="s">
        <v>162</v>
      </c>
      <c r="C91" t="s">
        <v>170</v>
      </c>
      <c r="D91" t="s">
        <v>176</v>
      </c>
      <c r="E91" s="13">
        <v>38830</v>
      </c>
      <c r="F91" s="16">
        <v>42631</v>
      </c>
      <c r="G91">
        <v>3</v>
      </c>
      <c r="H91" t="s">
        <v>179</v>
      </c>
      <c r="I91" t="s">
        <v>203</v>
      </c>
      <c r="J91" s="33">
        <v>38830</v>
      </c>
      <c r="K91" s="34">
        <v>42631</v>
      </c>
      <c r="L91" s="35">
        <v>3</v>
      </c>
      <c r="M91"/>
      <c r="N91"/>
    </row>
    <row r="92" spans="1:14" x14ac:dyDescent="0.35">
      <c r="A92" t="s">
        <v>99</v>
      </c>
      <c r="B92" t="s">
        <v>178</v>
      </c>
      <c r="C92" t="s">
        <v>170</v>
      </c>
      <c r="D92" t="s">
        <v>175</v>
      </c>
      <c r="E92" s="13">
        <v>50741</v>
      </c>
      <c r="F92" s="16">
        <v>42638</v>
      </c>
      <c r="G92">
        <v>3</v>
      </c>
      <c r="H92" t="s">
        <v>178</v>
      </c>
      <c r="I92" t="s">
        <v>240</v>
      </c>
      <c r="J92" s="33">
        <v>50741</v>
      </c>
      <c r="K92" s="34">
        <v>42638</v>
      </c>
      <c r="L92" s="35">
        <v>3</v>
      </c>
      <c r="M92"/>
      <c r="N92"/>
    </row>
    <row r="93" spans="1:14" x14ac:dyDescent="0.35">
      <c r="A93" t="s">
        <v>100</v>
      </c>
      <c r="B93" t="s">
        <v>160</v>
      </c>
      <c r="C93" t="s">
        <v>167</v>
      </c>
      <c r="D93" t="s">
        <v>176</v>
      </c>
      <c r="E93" s="13">
        <v>69420</v>
      </c>
      <c r="F93" s="16">
        <v>42645</v>
      </c>
      <c r="G93">
        <v>1</v>
      </c>
      <c r="H93" t="s">
        <v>180</v>
      </c>
      <c r="I93" t="s">
        <v>225</v>
      </c>
      <c r="J93" s="33">
        <v>69420</v>
      </c>
      <c r="K93" s="34">
        <v>42645</v>
      </c>
      <c r="L93" s="35">
        <v>1</v>
      </c>
      <c r="M93"/>
      <c r="N93"/>
    </row>
    <row r="94" spans="1:14" x14ac:dyDescent="0.35">
      <c r="A94" t="s">
        <v>101</v>
      </c>
      <c r="B94" t="s">
        <v>162</v>
      </c>
      <c r="C94" t="s">
        <v>169</v>
      </c>
      <c r="D94" t="s">
        <v>174</v>
      </c>
      <c r="E94" s="13">
        <v>80588</v>
      </c>
      <c r="F94" s="16">
        <v>42652</v>
      </c>
      <c r="G94">
        <v>5</v>
      </c>
      <c r="H94" t="s">
        <v>180</v>
      </c>
      <c r="I94" t="s">
        <v>216</v>
      </c>
      <c r="J94" s="33">
        <v>80588</v>
      </c>
      <c r="K94" s="34">
        <v>42652</v>
      </c>
      <c r="L94" s="35">
        <v>5</v>
      </c>
      <c r="M94"/>
      <c r="N94"/>
    </row>
    <row r="95" spans="1:14" x14ac:dyDescent="0.35">
      <c r="A95" t="s">
        <v>102</v>
      </c>
      <c r="B95" t="s">
        <v>160</v>
      </c>
      <c r="C95" t="s">
        <v>170</v>
      </c>
      <c r="D95" t="s">
        <v>173</v>
      </c>
      <c r="E95" s="13">
        <v>76238</v>
      </c>
      <c r="F95" s="16">
        <v>42659</v>
      </c>
      <c r="G95">
        <v>4</v>
      </c>
      <c r="H95" t="s">
        <v>180</v>
      </c>
      <c r="I95" t="s">
        <v>252</v>
      </c>
      <c r="J95" s="33">
        <v>76238</v>
      </c>
      <c r="K95" s="34">
        <v>42659</v>
      </c>
      <c r="L95" s="35">
        <v>4</v>
      </c>
      <c r="M95"/>
      <c r="N95"/>
    </row>
    <row r="96" spans="1:14" x14ac:dyDescent="0.35">
      <c r="A96" t="s">
        <v>103</v>
      </c>
      <c r="B96" t="s">
        <v>165</v>
      </c>
      <c r="C96" t="s">
        <v>169</v>
      </c>
      <c r="D96" t="s">
        <v>174</v>
      </c>
      <c r="E96" s="13">
        <v>33264</v>
      </c>
      <c r="F96" s="16">
        <v>42666</v>
      </c>
      <c r="H96" t="s">
        <v>181</v>
      </c>
      <c r="I96" t="s">
        <v>253</v>
      </c>
      <c r="J96" s="33">
        <v>33264</v>
      </c>
      <c r="K96" s="34">
        <v>42666</v>
      </c>
      <c r="L96" s="35">
        <v>3</v>
      </c>
      <c r="M96"/>
      <c r="N96"/>
    </row>
    <row r="97" spans="1:14" x14ac:dyDescent="0.35">
      <c r="A97" t="s">
        <v>104</v>
      </c>
      <c r="B97" t="s">
        <v>160</v>
      </c>
      <c r="C97" t="s">
        <v>166</v>
      </c>
      <c r="D97" t="s">
        <v>176</v>
      </c>
      <c r="E97" s="13">
        <v>96101</v>
      </c>
      <c r="F97" s="16">
        <v>42673</v>
      </c>
      <c r="H97" t="s">
        <v>179</v>
      </c>
      <c r="I97" t="s">
        <v>254</v>
      </c>
      <c r="J97" s="33">
        <v>96101</v>
      </c>
      <c r="K97" s="34">
        <v>42673</v>
      </c>
      <c r="L97" s="35">
        <v>3</v>
      </c>
      <c r="M97"/>
      <c r="N97"/>
    </row>
    <row r="98" spans="1:14" x14ac:dyDescent="0.35">
      <c r="A98" t="s">
        <v>105</v>
      </c>
      <c r="B98" t="s">
        <v>162</v>
      </c>
      <c r="C98" t="s">
        <v>166</v>
      </c>
      <c r="D98" t="s">
        <v>173</v>
      </c>
      <c r="E98" s="13">
        <v>72939</v>
      </c>
      <c r="F98" s="16">
        <v>42680</v>
      </c>
      <c r="G98">
        <v>3</v>
      </c>
      <c r="I98" t="s">
        <v>255</v>
      </c>
      <c r="J98" s="33">
        <v>72939</v>
      </c>
      <c r="K98" s="34">
        <v>42680</v>
      </c>
      <c r="L98" s="35">
        <v>3</v>
      </c>
      <c r="M98"/>
      <c r="N98"/>
    </row>
    <row r="99" spans="1:14" x14ac:dyDescent="0.35">
      <c r="A99" t="s">
        <v>106</v>
      </c>
      <c r="B99" t="s">
        <v>163</v>
      </c>
      <c r="C99" t="s">
        <v>167</v>
      </c>
      <c r="D99" t="s">
        <v>172</v>
      </c>
      <c r="E99" s="13">
        <v>89333</v>
      </c>
      <c r="F99" s="16">
        <v>42687</v>
      </c>
      <c r="G99">
        <v>1</v>
      </c>
      <c r="H99" t="s">
        <v>180</v>
      </c>
      <c r="I99" t="s">
        <v>256</v>
      </c>
      <c r="J99" s="33">
        <v>89333</v>
      </c>
      <c r="K99" s="34">
        <v>42687</v>
      </c>
      <c r="L99" s="35">
        <v>1</v>
      </c>
      <c r="M99"/>
      <c r="N99"/>
    </row>
    <row r="100" spans="1:14" x14ac:dyDescent="0.35">
      <c r="A100" t="s">
        <v>107</v>
      </c>
      <c r="B100" t="s">
        <v>165</v>
      </c>
      <c r="C100" t="s">
        <v>169</v>
      </c>
      <c r="D100" t="s">
        <v>176</v>
      </c>
      <c r="E100" s="13">
        <v>70470</v>
      </c>
      <c r="F100" s="16">
        <v>42694</v>
      </c>
      <c r="H100" t="s">
        <v>180</v>
      </c>
      <c r="I100" t="s">
        <v>257</v>
      </c>
      <c r="J100" s="33">
        <v>70470</v>
      </c>
      <c r="K100" s="34">
        <v>42694</v>
      </c>
      <c r="L100" s="35">
        <v>3</v>
      </c>
      <c r="M100"/>
      <c r="N100"/>
    </row>
    <row r="101" spans="1:14" x14ac:dyDescent="0.35">
      <c r="A101" t="s">
        <v>108</v>
      </c>
      <c r="B101" t="s">
        <v>159</v>
      </c>
      <c r="C101" t="s">
        <v>170</v>
      </c>
      <c r="D101" t="s">
        <v>173</v>
      </c>
      <c r="E101" s="13">
        <v>70096</v>
      </c>
      <c r="F101" s="16">
        <v>42701</v>
      </c>
      <c r="G101">
        <v>4</v>
      </c>
      <c r="H101" t="s">
        <v>180</v>
      </c>
      <c r="I101" t="s">
        <v>258</v>
      </c>
      <c r="J101" s="33">
        <v>70096</v>
      </c>
      <c r="K101" s="34">
        <v>42701</v>
      </c>
      <c r="L101" s="35">
        <v>4</v>
      </c>
      <c r="M101"/>
      <c r="N101"/>
    </row>
    <row r="102" spans="1:14" x14ac:dyDescent="0.35">
      <c r="A102" t="s">
        <v>109</v>
      </c>
      <c r="B102" t="s">
        <v>165</v>
      </c>
      <c r="C102" t="s">
        <v>170</v>
      </c>
      <c r="D102" t="s">
        <v>174</v>
      </c>
      <c r="E102" s="13" t="s">
        <v>177</v>
      </c>
      <c r="F102" s="16">
        <v>42708</v>
      </c>
      <c r="G102">
        <v>2</v>
      </c>
      <c r="H102" t="s">
        <v>179</v>
      </c>
      <c r="I102" t="s">
        <v>259</v>
      </c>
      <c r="J102" s="33">
        <v>65072</v>
      </c>
      <c r="K102" s="34">
        <v>42708</v>
      </c>
      <c r="L102" s="35">
        <v>2</v>
      </c>
      <c r="M102"/>
      <c r="N102"/>
    </row>
    <row r="103" spans="1:14" x14ac:dyDescent="0.35">
      <c r="A103" t="s">
        <v>110</v>
      </c>
      <c r="B103" t="s">
        <v>165</v>
      </c>
      <c r="C103" t="s">
        <v>169</v>
      </c>
      <c r="D103" t="s">
        <v>172</v>
      </c>
      <c r="E103" s="13">
        <v>66503</v>
      </c>
      <c r="F103" s="16">
        <v>42715</v>
      </c>
      <c r="H103" t="s">
        <v>180</v>
      </c>
      <c r="I103" t="s">
        <v>200</v>
      </c>
      <c r="J103" s="33">
        <v>66503</v>
      </c>
      <c r="K103" s="34">
        <v>42715</v>
      </c>
      <c r="L103" s="35">
        <v>3</v>
      </c>
      <c r="M103"/>
      <c r="N103"/>
    </row>
    <row r="104" spans="1:14" x14ac:dyDescent="0.35">
      <c r="A104" t="s">
        <v>111</v>
      </c>
      <c r="B104" t="s">
        <v>160</v>
      </c>
      <c r="C104" t="s">
        <v>167</v>
      </c>
      <c r="D104" t="s">
        <v>172</v>
      </c>
      <c r="E104" s="13">
        <v>42096</v>
      </c>
      <c r="F104" s="16">
        <v>42722</v>
      </c>
      <c r="H104" t="s">
        <v>181</v>
      </c>
      <c r="I104" t="s">
        <v>260</v>
      </c>
      <c r="J104" s="33">
        <v>42096</v>
      </c>
      <c r="K104" s="34">
        <v>42722</v>
      </c>
      <c r="L104" s="35">
        <v>3</v>
      </c>
      <c r="M104"/>
      <c r="N104"/>
    </row>
    <row r="105" spans="1:14" x14ac:dyDescent="0.35">
      <c r="A105" t="s">
        <v>112</v>
      </c>
      <c r="B105" t="s">
        <v>160</v>
      </c>
      <c r="C105" t="s">
        <v>170</v>
      </c>
      <c r="D105" t="s">
        <v>174</v>
      </c>
      <c r="E105" s="13">
        <v>79145</v>
      </c>
      <c r="F105" s="16">
        <v>42729</v>
      </c>
      <c r="G105">
        <v>5</v>
      </c>
      <c r="H105" t="s">
        <v>179</v>
      </c>
      <c r="I105" t="s">
        <v>223</v>
      </c>
      <c r="J105" s="33">
        <v>79145</v>
      </c>
      <c r="K105" s="34">
        <v>42729</v>
      </c>
      <c r="L105" s="35">
        <v>5</v>
      </c>
      <c r="M105"/>
      <c r="N105"/>
    </row>
    <row r="106" spans="1:14" x14ac:dyDescent="0.35">
      <c r="A106" t="s">
        <v>113</v>
      </c>
      <c r="B106" t="s">
        <v>162</v>
      </c>
      <c r="C106" t="s">
        <v>170</v>
      </c>
      <c r="D106" t="s">
        <v>176</v>
      </c>
      <c r="E106" s="13">
        <v>61556</v>
      </c>
      <c r="F106" s="16">
        <v>42736</v>
      </c>
      <c r="G106">
        <v>1</v>
      </c>
      <c r="I106" t="s">
        <v>259</v>
      </c>
      <c r="J106" s="33">
        <v>61556</v>
      </c>
      <c r="K106" s="34">
        <v>42736</v>
      </c>
      <c r="L106" s="35">
        <v>1</v>
      </c>
      <c r="M106"/>
      <c r="N106"/>
    </row>
    <row r="107" spans="1:14" x14ac:dyDescent="0.35">
      <c r="A107" t="s">
        <v>114</v>
      </c>
      <c r="B107" t="s">
        <v>178</v>
      </c>
      <c r="C107" t="s">
        <v>167</v>
      </c>
      <c r="D107" t="s">
        <v>175</v>
      </c>
      <c r="E107" s="13">
        <v>87963</v>
      </c>
      <c r="F107" s="16">
        <v>42743</v>
      </c>
      <c r="G107">
        <v>3</v>
      </c>
      <c r="H107" t="s">
        <v>179</v>
      </c>
      <c r="I107" t="s">
        <v>182</v>
      </c>
      <c r="J107" s="33">
        <v>87963</v>
      </c>
      <c r="K107" s="34">
        <v>42743</v>
      </c>
      <c r="L107" s="35">
        <v>3</v>
      </c>
      <c r="M107"/>
      <c r="N107"/>
    </row>
    <row r="108" spans="1:14" x14ac:dyDescent="0.35">
      <c r="A108" t="s">
        <v>115</v>
      </c>
      <c r="B108" t="s">
        <v>159</v>
      </c>
      <c r="C108" t="s">
        <v>169</v>
      </c>
      <c r="D108" t="s">
        <v>174</v>
      </c>
      <c r="E108" s="13">
        <v>48325</v>
      </c>
      <c r="F108" s="16">
        <v>42750</v>
      </c>
      <c r="H108" t="s">
        <v>180</v>
      </c>
      <c r="I108" t="s">
        <v>261</v>
      </c>
      <c r="J108" s="33">
        <v>48325</v>
      </c>
      <c r="K108" s="34">
        <v>42750</v>
      </c>
      <c r="L108" s="35">
        <v>3</v>
      </c>
      <c r="M108"/>
      <c r="N108"/>
    </row>
    <row r="109" spans="1:14" x14ac:dyDescent="0.35">
      <c r="A109" t="s">
        <v>116</v>
      </c>
      <c r="B109" t="s">
        <v>163</v>
      </c>
      <c r="C109" t="s">
        <v>170</v>
      </c>
      <c r="D109" t="s">
        <v>176</v>
      </c>
      <c r="E109" s="13">
        <v>86412</v>
      </c>
      <c r="F109" s="16">
        <v>42757</v>
      </c>
      <c r="G109">
        <v>2</v>
      </c>
      <c r="H109" t="s">
        <v>181</v>
      </c>
      <c r="I109" t="s">
        <v>202</v>
      </c>
      <c r="J109" s="33">
        <v>86412</v>
      </c>
      <c r="K109" s="34">
        <v>42757</v>
      </c>
      <c r="L109" s="35">
        <v>2</v>
      </c>
      <c r="M109"/>
      <c r="N109"/>
    </row>
    <row r="110" spans="1:14" x14ac:dyDescent="0.35">
      <c r="A110" t="s">
        <v>117</v>
      </c>
      <c r="B110" t="s">
        <v>163</v>
      </c>
      <c r="C110" t="s">
        <v>167</v>
      </c>
      <c r="D110" t="s">
        <v>174</v>
      </c>
      <c r="E110" s="13">
        <v>66761</v>
      </c>
      <c r="F110" s="16">
        <v>42764</v>
      </c>
      <c r="G110">
        <v>1</v>
      </c>
      <c r="I110" t="s">
        <v>262</v>
      </c>
      <c r="J110" s="33">
        <v>66761</v>
      </c>
      <c r="K110" s="34">
        <v>42764</v>
      </c>
      <c r="L110" s="35">
        <v>1</v>
      </c>
      <c r="M110"/>
      <c r="N110"/>
    </row>
    <row r="111" spans="1:14" x14ac:dyDescent="0.35">
      <c r="A111" t="s">
        <v>118</v>
      </c>
      <c r="B111" t="s">
        <v>162</v>
      </c>
      <c r="C111" t="s">
        <v>170</v>
      </c>
      <c r="D111" t="s">
        <v>174</v>
      </c>
      <c r="E111" s="13">
        <v>88850</v>
      </c>
      <c r="F111" s="16">
        <v>42771</v>
      </c>
      <c r="G111">
        <v>1</v>
      </c>
      <c r="H111" t="s">
        <v>181</v>
      </c>
      <c r="I111" t="s">
        <v>263</v>
      </c>
      <c r="J111" s="33">
        <v>88850</v>
      </c>
      <c r="K111" s="34">
        <v>42771</v>
      </c>
      <c r="L111" s="35">
        <v>1</v>
      </c>
      <c r="M111"/>
      <c r="N111"/>
    </row>
    <row r="112" spans="1:14" x14ac:dyDescent="0.35">
      <c r="A112" t="s">
        <v>119</v>
      </c>
      <c r="B112" t="s">
        <v>164</v>
      </c>
      <c r="C112" t="s">
        <v>168</v>
      </c>
      <c r="D112" t="s">
        <v>174</v>
      </c>
      <c r="E112" s="13">
        <v>31293</v>
      </c>
      <c r="F112" s="16"/>
      <c r="G112">
        <v>2</v>
      </c>
      <c r="H112" t="s">
        <v>181</v>
      </c>
      <c r="I112" t="s">
        <v>264</v>
      </c>
      <c r="J112" s="33">
        <v>31293</v>
      </c>
      <c r="K112" s="34">
        <v>42563.041666666664</v>
      </c>
      <c r="L112" s="35">
        <v>2</v>
      </c>
      <c r="M112"/>
      <c r="N112"/>
    </row>
    <row r="113" spans="1:14" x14ac:dyDescent="0.35">
      <c r="A113" t="s">
        <v>120</v>
      </c>
      <c r="B113" t="s">
        <v>164</v>
      </c>
      <c r="C113" t="s">
        <v>169</v>
      </c>
      <c r="D113" t="s">
        <v>173</v>
      </c>
      <c r="E113" s="13">
        <v>34306</v>
      </c>
      <c r="F113" s="16">
        <v>42785</v>
      </c>
      <c r="G113">
        <v>5</v>
      </c>
      <c r="H113" t="s">
        <v>181</v>
      </c>
      <c r="I113" t="s">
        <v>239</v>
      </c>
      <c r="J113" s="33">
        <v>34306</v>
      </c>
      <c r="K113" s="34">
        <v>42785</v>
      </c>
      <c r="L113" s="35">
        <v>5</v>
      </c>
      <c r="M113"/>
      <c r="N113"/>
    </row>
    <row r="114" spans="1:14" x14ac:dyDescent="0.35">
      <c r="A114" t="s">
        <v>121</v>
      </c>
      <c r="B114" t="s">
        <v>159</v>
      </c>
      <c r="C114" t="s">
        <v>166</v>
      </c>
      <c r="D114" t="s">
        <v>174</v>
      </c>
      <c r="E114" s="13">
        <v>78330</v>
      </c>
      <c r="F114" s="16">
        <v>42792</v>
      </c>
      <c r="H114" t="s">
        <v>179</v>
      </c>
      <c r="I114" t="s">
        <v>258</v>
      </c>
      <c r="J114" s="33">
        <v>78330</v>
      </c>
      <c r="K114" s="34">
        <v>42792</v>
      </c>
      <c r="L114" s="35">
        <v>3</v>
      </c>
      <c r="M114"/>
      <c r="N114"/>
    </row>
    <row r="115" spans="1:14" x14ac:dyDescent="0.35">
      <c r="A115" t="s">
        <v>122</v>
      </c>
      <c r="B115" t="s">
        <v>160</v>
      </c>
      <c r="C115" t="s">
        <v>169</v>
      </c>
      <c r="D115" t="s">
        <v>173</v>
      </c>
      <c r="E115" s="13">
        <v>47653</v>
      </c>
      <c r="F115" s="16">
        <v>42799</v>
      </c>
      <c r="G115">
        <v>1</v>
      </c>
      <c r="H115" t="s">
        <v>180</v>
      </c>
      <c r="I115" t="s">
        <v>265</v>
      </c>
      <c r="J115" s="33">
        <v>47653</v>
      </c>
      <c r="K115" s="34">
        <v>42799</v>
      </c>
      <c r="L115" s="35">
        <v>1</v>
      </c>
      <c r="M115"/>
      <c r="N115"/>
    </row>
    <row r="116" spans="1:14" x14ac:dyDescent="0.35">
      <c r="A116" t="s">
        <v>123</v>
      </c>
      <c r="B116" t="s">
        <v>159</v>
      </c>
      <c r="C116" t="s">
        <v>170</v>
      </c>
      <c r="D116" t="s">
        <v>175</v>
      </c>
      <c r="E116" s="13">
        <v>44627</v>
      </c>
      <c r="F116" s="16">
        <v>42806</v>
      </c>
      <c r="G116">
        <v>4</v>
      </c>
      <c r="I116" t="s">
        <v>235</v>
      </c>
      <c r="J116" s="33">
        <v>44627</v>
      </c>
      <c r="K116" s="34">
        <v>42806</v>
      </c>
      <c r="L116" s="35">
        <v>4</v>
      </c>
      <c r="M116"/>
      <c r="N116"/>
    </row>
    <row r="117" spans="1:14" x14ac:dyDescent="0.35">
      <c r="A117" t="s">
        <v>124</v>
      </c>
      <c r="B117" t="s">
        <v>165</v>
      </c>
      <c r="C117" t="s">
        <v>167</v>
      </c>
      <c r="D117" t="s">
        <v>172</v>
      </c>
      <c r="E117" s="13">
        <v>92343</v>
      </c>
      <c r="F117" s="16">
        <v>42813</v>
      </c>
      <c r="G117">
        <v>4</v>
      </c>
      <c r="H117" t="s">
        <v>181</v>
      </c>
      <c r="I117" t="s">
        <v>203</v>
      </c>
      <c r="J117" s="33">
        <v>92343</v>
      </c>
      <c r="K117" s="34">
        <v>42813</v>
      </c>
      <c r="L117" s="35">
        <v>4</v>
      </c>
      <c r="M117"/>
      <c r="N117"/>
    </row>
    <row r="118" spans="1:14" x14ac:dyDescent="0.35">
      <c r="A118" t="s">
        <v>125</v>
      </c>
      <c r="B118" t="s">
        <v>165</v>
      </c>
      <c r="C118" t="s">
        <v>170</v>
      </c>
      <c r="D118" t="s">
        <v>176</v>
      </c>
      <c r="E118" s="13">
        <v>38837</v>
      </c>
      <c r="F118" s="16">
        <v>42820</v>
      </c>
      <c r="G118">
        <v>5</v>
      </c>
      <c r="H118" t="s">
        <v>181</v>
      </c>
      <c r="I118" t="s">
        <v>239</v>
      </c>
      <c r="J118" s="33">
        <v>38837</v>
      </c>
      <c r="K118" s="34">
        <v>42820</v>
      </c>
      <c r="L118" s="35">
        <v>5</v>
      </c>
      <c r="M118"/>
      <c r="N118"/>
    </row>
    <row r="119" spans="1:14" x14ac:dyDescent="0.35">
      <c r="A119" t="s">
        <v>126</v>
      </c>
      <c r="B119" t="s">
        <v>165</v>
      </c>
      <c r="C119" t="s">
        <v>170</v>
      </c>
      <c r="D119" t="s">
        <v>174</v>
      </c>
      <c r="E119" s="13">
        <v>73483</v>
      </c>
      <c r="F119" s="16">
        <v>42827</v>
      </c>
      <c r="G119">
        <v>1</v>
      </c>
      <c r="I119" t="s">
        <v>266</v>
      </c>
      <c r="J119" s="33">
        <v>73483</v>
      </c>
      <c r="K119" s="34">
        <v>42827</v>
      </c>
      <c r="L119" s="35">
        <v>1</v>
      </c>
      <c r="M119"/>
      <c r="N119"/>
    </row>
    <row r="120" spans="1:14" x14ac:dyDescent="0.35">
      <c r="A120" t="s">
        <v>127</v>
      </c>
      <c r="B120" t="s">
        <v>164</v>
      </c>
      <c r="C120" t="s">
        <v>168</v>
      </c>
      <c r="D120" t="s">
        <v>174</v>
      </c>
      <c r="E120" s="13">
        <v>95032</v>
      </c>
      <c r="F120" s="16">
        <v>42834</v>
      </c>
      <c r="G120">
        <v>3</v>
      </c>
      <c r="I120" t="s">
        <v>267</v>
      </c>
      <c r="J120" s="33">
        <v>95032</v>
      </c>
      <c r="K120" s="34">
        <v>42834</v>
      </c>
      <c r="L120" s="35">
        <v>3</v>
      </c>
      <c r="M120"/>
      <c r="N120"/>
    </row>
    <row r="121" spans="1:14" x14ac:dyDescent="0.35">
      <c r="A121" t="s">
        <v>128</v>
      </c>
      <c r="B121" t="s">
        <v>159</v>
      </c>
      <c r="C121" t="s">
        <v>168</v>
      </c>
      <c r="D121" t="s">
        <v>176</v>
      </c>
      <c r="E121" s="13">
        <v>44358</v>
      </c>
      <c r="F121" s="16">
        <v>42841</v>
      </c>
      <c r="H121" t="s">
        <v>181</v>
      </c>
      <c r="I121" t="s">
        <v>200</v>
      </c>
      <c r="J121" s="33">
        <v>44358</v>
      </c>
      <c r="K121" s="34">
        <v>42841</v>
      </c>
      <c r="L121" s="35">
        <v>3</v>
      </c>
      <c r="M121"/>
      <c r="N121"/>
    </row>
    <row r="122" spans="1:14" x14ac:dyDescent="0.35">
      <c r="A122" t="s">
        <v>129</v>
      </c>
      <c r="B122" t="s">
        <v>178</v>
      </c>
      <c r="C122" t="s">
        <v>169</v>
      </c>
      <c r="D122" t="s">
        <v>173</v>
      </c>
      <c r="E122" s="13" t="s">
        <v>177</v>
      </c>
      <c r="F122" s="16"/>
      <c r="G122">
        <v>5</v>
      </c>
      <c r="H122" t="s">
        <v>178</v>
      </c>
      <c r="I122" t="s">
        <v>268</v>
      </c>
      <c r="J122" s="33">
        <v>66158</v>
      </c>
      <c r="K122" s="34">
        <v>42521.333333333336</v>
      </c>
      <c r="L122" s="35">
        <v>5</v>
      </c>
      <c r="M122"/>
      <c r="N122"/>
    </row>
    <row r="123" spans="1:14" x14ac:dyDescent="0.35">
      <c r="A123" t="s">
        <v>130</v>
      </c>
      <c r="B123" t="s">
        <v>164</v>
      </c>
      <c r="C123" t="s">
        <v>168</v>
      </c>
      <c r="D123" t="s">
        <v>173</v>
      </c>
      <c r="E123" s="13">
        <v>45676</v>
      </c>
      <c r="F123" s="16">
        <v>42855</v>
      </c>
      <c r="G123">
        <v>2</v>
      </c>
      <c r="I123" t="s">
        <v>269</v>
      </c>
      <c r="J123" s="33">
        <v>45676</v>
      </c>
      <c r="K123" s="34">
        <v>42855</v>
      </c>
      <c r="L123" s="35">
        <v>2</v>
      </c>
      <c r="M123"/>
      <c r="N123"/>
    </row>
    <row r="124" spans="1:14" x14ac:dyDescent="0.35">
      <c r="A124" t="s">
        <v>131</v>
      </c>
      <c r="B124" t="s">
        <v>165</v>
      </c>
      <c r="C124" t="s">
        <v>168</v>
      </c>
      <c r="D124" t="s">
        <v>172</v>
      </c>
      <c r="E124" s="13">
        <v>52036</v>
      </c>
      <c r="F124" s="16">
        <v>42862</v>
      </c>
      <c r="G124">
        <v>3</v>
      </c>
      <c r="H124" t="s">
        <v>180</v>
      </c>
      <c r="I124" t="s">
        <v>270</v>
      </c>
      <c r="J124" s="33">
        <v>52036</v>
      </c>
      <c r="K124" s="34">
        <v>42862</v>
      </c>
      <c r="L124" s="35">
        <v>3</v>
      </c>
      <c r="M124"/>
      <c r="N124"/>
    </row>
    <row r="125" spans="1:14" x14ac:dyDescent="0.35">
      <c r="A125" t="s">
        <v>132</v>
      </c>
      <c r="B125" t="s">
        <v>162</v>
      </c>
      <c r="C125" t="s">
        <v>170</v>
      </c>
      <c r="D125" t="s">
        <v>172</v>
      </c>
      <c r="E125" s="13">
        <v>30357</v>
      </c>
      <c r="F125" s="16">
        <v>42869</v>
      </c>
      <c r="G125">
        <v>5</v>
      </c>
      <c r="H125" t="s">
        <v>180</v>
      </c>
      <c r="I125" t="s">
        <v>248</v>
      </c>
      <c r="J125" s="33">
        <v>30357</v>
      </c>
      <c r="K125" s="34">
        <v>42869</v>
      </c>
      <c r="L125" s="35">
        <v>5</v>
      </c>
      <c r="M125"/>
      <c r="N125"/>
    </row>
    <row r="126" spans="1:14" x14ac:dyDescent="0.35">
      <c r="A126" t="s">
        <v>133</v>
      </c>
      <c r="B126" t="s">
        <v>161</v>
      </c>
      <c r="C126" t="s">
        <v>169</v>
      </c>
      <c r="D126" t="s">
        <v>174</v>
      </c>
      <c r="E126" s="13">
        <v>60034</v>
      </c>
      <c r="F126" s="16">
        <v>42876</v>
      </c>
      <c r="G126">
        <v>1</v>
      </c>
      <c r="H126" t="s">
        <v>181</v>
      </c>
      <c r="I126" t="s">
        <v>271</v>
      </c>
      <c r="J126" s="33">
        <v>60034</v>
      </c>
      <c r="K126" s="34">
        <v>42876</v>
      </c>
      <c r="L126" s="35">
        <v>1</v>
      </c>
      <c r="M126"/>
      <c r="N126"/>
    </row>
    <row r="127" spans="1:14" x14ac:dyDescent="0.35">
      <c r="A127" t="s">
        <v>134</v>
      </c>
      <c r="B127" t="s">
        <v>161</v>
      </c>
      <c r="C127" t="s">
        <v>166</v>
      </c>
      <c r="D127" t="s">
        <v>174</v>
      </c>
      <c r="E127" s="13">
        <v>90019</v>
      </c>
      <c r="F127" s="16">
        <v>42883</v>
      </c>
      <c r="G127">
        <v>5</v>
      </c>
      <c r="I127" t="s">
        <v>272</v>
      </c>
      <c r="J127" s="33">
        <v>90019</v>
      </c>
      <c r="K127" s="34">
        <v>42883</v>
      </c>
      <c r="L127" s="35">
        <v>5</v>
      </c>
      <c r="M127"/>
      <c r="N127"/>
    </row>
    <row r="128" spans="1:14" x14ac:dyDescent="0.35">
      <c r="A128" t="s">
        <v>135</v>
      </c>
      <c r="B128" t="s">
        <v>165</v>
      </c>
      <c r="C128" t="s">
        <v>170</v>
      </c>
      <c r="D128" t="s">
        <v>172</v>
      </c>
      <c r="E128" s="13">
        <v>71494</v>
      </c>
      <c r="F128" s="16">
        <v>42890</v>
      </c>
      <c r="G128">
        <v>3</v>
      </c>
      <c r="H128" t="s">
        <v>180</v>
      </c>
      <c r="I128" t="s">
        <v>273</v>
      </c>
      <c r="J128" s="33">
        <v>71494</v>
      </c>
      <c r="K128" s="34">
        <v>42890</v>
      </c>
      <c r="L128" s="35">
        <v>3</v>
      </c>
      <c r="M128"/>
      <c r="N128"/>
    </row>
    <row r="129" spans="1:14" x14ac:dyDescent="0.35">
      <c r="A129" t="s">
        <v>136</v>
      </c>
      <c r="B129" t="s">
        <v>161</v>
      </c>
      <c r="C129" t="s">
        <v>166</v>
      </c>
      <c r="D129" t="s">
        <v>173</v>
      </c>
      <c r="E129" s="13">
        <v>91953</v>
      </c>
      <c r="F129" s="16">
        <v>42897</v>
      </c>
      <c r="G129">
        <v>2</v>
      </c>
      <c r="H129" t="s">
        <v>180</v>
      </c>
      <c r="I129" t="s">
        <v>209</v>
      </c>
      <c r="J129" s="33">
        <v>91953</v>
      </c>
      <c r="K129" s="34">
        <v>42897</v>
      </c>
      <c r="L129" s="35">
        <v>2</v>
      </c>
      <c r="M129"/>
      <c r="N129"/>
    </row>
    <row r="130" spans="1:14" x14ac:dyDescent="0.35">
      <c r="A130" t="s">
        <v>137</v>
      </c>
      <c r="B130" t="s">
        <v>164</v>
      </c>
      <c r="C130" t="s">
        <v>168</v>
      </c>
      <c r="D130" t="s">
        <v>173</v>
      </c>
      <c r="E130" s="13">
        <v>30402</v>
      </c>
      <c r="F130" s="16">
        <v>42904</v>
      </c>
      <c r="G130">
        <v>1</v>
      </c>
      <c r="I130" t="s">
        <v>274</v>
      </c>
      <c r="J130" s="33">
        <v>30402</v>
      </c>
      <c r="K130" s="34">
        <v>42904</v>
      </c>
      <c r="L130" s="35">
        <v>1</v>
      </c>
      <c r="M130"/>
      <c r="N130"/>
    </row>
    <row r="131" spans="1:14" x14ac:dyDescent="0.35">
      <c r="A131" t="s">
        <v>138</v>
      </c>
      <c r="B131" t="s">
        <v>165</v>
      </c>
      <c r="C131" t="s">
        <v>170</v>
      </c>
      <c r="D131" t="s">
        <v>175</v>
      </c>
      <c r="E131" s="13">
        <v>62994</v>
      </c>
      <c r="F131" s="16">
        <v>42911</v>
      </c>
      <c r="I131" t="s">
        <v>221</v>
      </c>
      <c r="J131" s="33">
        <v>62994</v>
      </c>
      <c r="K131" s="34">
        <v>42911</v>
      </c>
      <c r="L131" s="35">
        <v>3</v>
      </c>
      <c r="M131"/>
      <c r="N131"/>
    </row>
    <row r="132" spans="1:14" x14ac:dyDescent="0.35">
      <c r="A132" t="s">
        <v>139</v>
      </c>
      <c r="B132" t="s">
        <v>160</v>
      </c>
      <c r="C132" t="s">
        <v>168</v>
      </c>
      <c r="D132" t="s">
        <v>174</v>
      </c>
      <c r="E132" s="13">
        <v>48289</v>
      </c>
      <c r="F132" s="16"/>
      <c r="G132">
        <v>3</v>
      </c>
      <c r="H132" t="s">
        <v>180</v>
      </c>
      <c r="I132" t="s">
        <v>189</v>
      </c>
      <c r="J132" s="33">
        <v>48289</v>
      </c>
      <c r="K132" s="34">
        <v>42563.041666666664</v>
      </c>
      <c r="L132" s="35">
        <v>3</v>
      </c>
      <c r="M132"/>
      <c r="N132"/>
    </row>
    <row r="133" spans="1:14" x14ac:dyDescent="0.35">
      <c r="A133" t="s">
        <v>140</v>
      </c>
      <c r="B133" t="s">
        <v>163</v>
      </c>
      <c r="C133" t="s">
        <v>170</v>
      </c>
      <c r="D133" t="s">
        <v>172</v>
      </c>
      <c r="E133" s="13">
        <v>34402</v>
      </c>
      <c r="F133" s="16">
        <v>42925</v>
      </c>
      <c r="G133">
        <v>3</v>
      </c>
      <c r="H133" t="s">
        <v>179</v>
      </c>
      <c r="I133" t="s">
        <v>218</v>
      </c>
      <c r="J133" s="33">
        <v>34402</v>
      </c>
      <c r="K133" s="34">
        <v>42925</v>
      </c>
      <c r="L133" s="35">
        <v>3</v>
      </c>
      <c r="M133"/>
      <c r="N133"/>
    </row>
    <row r="134" spans="1:14" x14ac:dyDescent="0.35">
      <c r="A134" t="s">
        <v>141</v>
      </c>
      <c r="B134" t="s">
        <v>159</v>
      </c>
      <c r="C134" t="s">
        <v>167</v>
      </c>
      <c r="D134" t="s">
        <v>173</v>
      </c>
      <c r="E134" s="13">
        <v>38678</v>
      </c>
      <c r="F134" s="16">
        <v>42932</v>
      </c>
      <c r="G134">
        <v>3</v>
      </c>
      <c r="H134" t="s">
        <v>179</v>
      </c>
      <c r="I134" t="s">
        <v>275</v>
      </c>
      <c r="J134" s="33">
        <v>38678</v>
      </c>
      <c r="K134" s="34">
        <v>42932</v>
      </c>
      <c r="L134" s="35">
        <v>3</v>
      </c>
      <c r="M134"/>
      <c r="N134"/>
    </row>
    <row r="135" spans="1:14" x14ac:dyDescent="0.35">
      <c r="A135" t="s">
        <v>142</v>
      </c>
      <c r="B135" t="s">
        <v>164</v>
      </c>
      <c r="C135" t="s">
        <v>167</v>
      </c>
      <c r="D135" t="s">
        <v>172</v>
      </c>
      <c r="E135" s="13">
        <v>45758</v>
      </c>
      <c r="F135" s="16">
        <v>42939</v>
      </c>
      <c r="G135">
        <v>3</v>
      </c>
      <c r="I135" t="s">
        <v>264</v>
      </c>
      <c r="J135" s="33">
        <v>45758</v>
      </c>
      <c r="K135" s="34">
        <v>42939</v>
      </c>
      <c r="L135" s="35">
        <v>3</v>
      </c>
      <c r="M135"/>
      <c r="N135"/>
    </row>
    <row r="136" spans="1:14" x14ac:dyDescent="0.35">
      <c r="A136" t="s">
        <v>143</v>
      </c>
      <c r="B136" t="s">
        <v>159</v>
      </c>
      <c r="C136" t="s">
        <v>170</v>
      </c>
      <c r="D136" t="s">
        <v>174</v>
      </c>
      <c r="E136" s="13">
        <v>62476</v>
      </c>
      <c r="F136" s="16">
        <v>42946</v>
      </c>
      <c r="G136">
        <v>1</v>
      </c>
      <c r="H136" t="s">
        <v>179</v>
      </c>
      <c r="I136" t="s">
        <v>231</v>
      </c>
      <c r="J136" s="33">
        <v>62476</v>
      </c>
      <c r="K136" s="34">
        <v>42946</v>
      </c>
      <c r="L136" s="35">
        <v>1</v>
      </c>
      <c r="M136"/>
      <c r="N136"/>
    </row>
    <row r="137" spans="1:14" x14ac:dyDescent="0.35">
      <c r="A137" t="s">
        <v>144</v>
      </c>
      <c r="B137" t="s">
        <v>178</v>
      </c>
      <c r="C137" t="s">
        <v>169</v>
      </c>
      <c r="D137" t="s">
        <v>175</v>
      </c>
      <c r="E137" s="13">
        <v>39280</v>
      </c>
      <c r="F137" s="16">
        <v>42953</v>
      </c>
      <c r="G137">
        <v>3</v>
      </c>
      <c r="H137" t="s">
        <v>181</v>
      </c>
      <c r="I137" t="s">
        <v>214</v>
      </c>
      <c r="J137" s="33">
        <v>39280</v>
      </c>
      <c r="K137" s="34">
        <v>42953</v>
      </c>
      <c r="L137" s="35">
        <v>3</v>
      </c>
      <c r="M137"/>
      <c r="N137"/>
    </row>
    <row r="138" spans="1:14" x14ac:dyDescent="0.35">
      <c r="A138" t="s">
        <v>145</v>
      </c>
      <c r="B138" t="s">
        <v>162</v>
      </c>
      <c r="C138" t="s">
        <v>166</v>
      </c>
      <c r="D138" t="s">
        <v>174</v>
      </c>
      <c r="E138" s="13">
        <v>60335</v>
      </c>
      <c r="F138" s="16">
        <v>42960</v>
      </c>
      <c r="G138">
        <v>4</v>
      </c>
      <c r="H138" t="s">
        <v>179</v>
      </c>
      <c r="I138" t="s">
        <v>227</v>
      </c>
      <c r="J138" s="33">
        <v>60335</v>
      </c>
      <c r="K138" s="34">
        <v>42960</v>
      </c>
      <c r="L138" s="35">
        <v>4</v>
      </c>
      <c r="M138"/>
      <c r="N138"/>
    </row>
    <row r="139" spans="1:14" x14ac:dyDescent="0.35">
      <c r="A139" t="s">
        <v>146</v>
      </c>
      <c r="B139" t="s">
        <v>164</v>
      </c>
      <c r="C139" t="s">
        <v>167</v>
      </c>
      <c r="D139" t="s">
        <v>172</v>
      </c>
      <c r="E139" s="13">
        <v>84968</v>
      </c>
      <c r="F139" s="16">
        <v>42967</v>
      </c>
      <c r="I139" t="s">
        <v>276</v>
      </c>
      <c r="J139" s="33">
        <v>84968</v>
      </c>
      <c r="K139" s="34">
        <v>42967</v>
      </c>
      <c r="L139" s="35">
        <v>3</v>
      </c>
      <c r="M139"/>
      <c r="N139"/>
    </row>
    <row r="140" spans="1:14" x14ac:dyDescent="0.35">
      <c r="A140" t="s">
        <v>147</v>
      </c>
      <c r="B140" t="s">
        <v>164</v>
      </c>
      <c r="C140" t="s">
        <v>170</v>
      </c>
      <c r="D140" t="s">
        <v>176</v>
      </c>
      <c r="E140" s="13">
        <v>84750</v>
      </c>
      <c r="F140" s="16">
        <v>42974</v>
      </c>
      <c r="G140">
        <v>4</v>
      </c>
      <c r="H140" t="s">
        <v>181</v>
      </c>
      <c r="I140" t="s">
        <v>195</v>
      </c>
      <c r="J140" s="33">
        <v>84750</v>
      </c>
      <c r="K140" s="34">
        <v>42974</v>
      </c>
      <c r="L140" s="35">
        <v>4</v>
      </c>
      <c r="M140"/>
      <c r="N140"/>
    </row>
    <row r="141" spans="1:14" x14ac:dyDescent="0.35">
      <c r="A141" t="s">
        <v>148</v>
      </c>
      <c r="B141" t="s">
        <v>165</v>
      </c>
      <c r="C141" t="s">
        <v>169</v>
      </c>
      <c r="D141" t="s">
        <v>174</v>
      </c>
      <c r="E141" s="13">
        <v>73348</v>
      </c>
      <c r="F141" s="16">
        <v>42981</v>
      </c>
      <c r="G141">
        <v>2</v>
      </c>
      <c r="I141" t="s">
        <v>243</v>
      </c>
      <c r="J141" s="33">
        <v>73348</v>
      </c>
      <c r="K141" s="34">
        <v>42981</v>
      </c>
      <c r="L141" s="35">
        <v>2</v>
      </c>
      <c r="M141"/>
      <c r="N141"/>
    </row>
    <row r="142" spans="1:14" x14ac:dyDescent="0.35">
      <c r="A142" t="s">
        <v>149</v>
      </c>
      <c r="B142" t="s">
        <v>164</v>
      </c>
      <c r="C142" t="s">
        <v>168</v>
      </c>
      <c r="D142" t="s">
        <v>173</v>
      </c>
      <c r="E142" s="13" t="s">
        <v>177</v>
      </c>
      <c r="F142" s="16">
        <v>42988</v>
      </c>
      <c r="G142">
        <v>4</v>
      </c>
      <c r="H142" t="s">
        <v>179</v>
      </c>
      <c r="I142" t="s">
        <v>182</v>
      </c>
      <c r="J142" s="33">
        <v>67929</v>
      </c>
      <c r="K142" s="34">
        <v>42988</v>
      </c>
      <c r="L142" s="35">
        <v>4</v>
      </c>
      <c r="M142"/>
      <c r="N142"/>
    </row>
    <row r="143" spans="1:14" x14ac:dyDescent="0.35">
      <c r="A143" t="s">
        <v>150</v>
      </c>
      <c r="B143" t="s">
        <v>162</v>
      </c>
      <c r="C143" t="s">
        <v>170</v>
      </c>
      <c r="D143" t="s">
        <v>173</v>
      </c>
      <c r="E143" s="13">
        <v>66882</v>
      </c>
      <c r="F143" s="16">
        <v>42995</v>
      </c>
      <c r="G143">
        <v>5</v>
      </c>
      <c r="H143" t="s">
        <v>179</v>
      </c>
      <c r="I143" t="s">
        <v>207</v>
      </c>
      <c r="J143" s="33">
        <v>66882</v>
      </c>
      <c r="K143" s="34">
        <v>42995</v>
      </c>
      <c r="L143" s="35">
        <v>5</v>
      </c>
      <c r="M143"/>
      <c r="N143"/>
    </row>
    <row r="144" spans="1:14" x14ac:dyDescent="0.35">
      <c r="A144" t="s">
        <v>151</v>
      </c>
      <c r="B144" t="s">
        <v>160</v>
      </c>
      <c r="C144" t="s">
        <v>170</v>
      </c>
      <c r="D144" t="s">
        <v>174</v>
      </c>
      <c r="E144" s="13">
        <v>86775</v>
      </c>
      <c r="F144" s="16">
        <v>43002</v>
      </c>
      <c r="G144">
        <v>3</v>
      </c>
      <c r="H144" t="s">
        <v>179</v>
      </c>
      <c r="I144" t="s">
        <v>212</v>
      </c>
      <c r="J144" s="33">
        <v>86775</v>
      </c>
      <c r="K144" s="34">
        <v>43002</v>
      </c>
      <c r="L144" s="35">
        <v>3</v>
      </c>
      <c r="M144"/>
      <c r="N144"/>
    </row>
    <row r="145" spans="1:14" x14ac:dyDescent="0.35">
      <c r="A145" t="s">
        <v>152</v>
      </c>
      <c r="B145" t="s">
        <v>164</v>
      </c>
      <c r="C145" t="s">
        <v>168</v>
      </c>
      <c r="D145" t="s">
        <v>175</v>
      </c>
      <c r="E145" s="13">
        <v>91620</v>
      </c>
      <c r="F145" s="16">
        <v>43009</v>
      </c>
      <c r="I145" t="s">
        <v>277</v>
      </c>
      <c r="J145" s="33">
        <v>91620</v>
      </c>
      <c r="K145" s="34">
        <v>43009</v>
      </c>
      <c r="L145" s="35">
        <v>3</v>
      </c>
      <c r="M145"/>
      <c r="N145"/>
    </row>
    <row r="146" spans="1:14" x14ac:dyDescent="0.35">
      <c r="A146" t="s">
        <v>153</v>
      </c>
      <c r="B146" t="s">
        <v>159</v>
      </c>
      <c r="C146" t="s">
        <v>170</v>
      </c>
      <c r="D146" t="s">
        <v>174</v>
      </c>
      <c r="E146" s="13">
        <v>94148</v>
      </c>
      <c r="F146" s="16">
        <v>43016</v>
      </c>
      <c r="G146">
        <v>2</v>
      </c>
      <c r="I146" t="s">
        <v>278</v>
      </c>
      <c r="J146" s="33">
        <v>94148</v>
      </c>
      <c r="K146" s="34">
        <v>43016</v>
      </c>
      <c r="L146" s="35">
        <v>2</v>
      </c>
      <c r="M146"/>
      <c r="N146"/>
    </row>
    <row r="147" spans="1:14" x14ac:dyDescent="0.35">
      <c r="A147" t="s">
        <v>154</v>
      </c>
      <c r="B147" t="s">
        <v>163</v>
      </c>
      <c r="C147" t="s">
        <v>168</v>
      </c>
      <c r="D147" t="s">
        <v>176</v>
      </c>
      <c r="E147" s="13">
        <v>35627</v>
      </c>
      <c r="F147" s="16">
        <v>43023</v>
      </c>
      <c r="G147">
        <v>5</v>
      </c>
      <c r="H147" t="s">
        <v>181</v>
      </c>
      <c r="I147" t="s">
        <v>275</v>
      </c>
      <c r="J147" s="33">
        <v>35627</v>
      </c>
      <c r="K147" s="34">
        <v>43023</v>
      </c>
      <c r="L147" s="35">
        <v>5</v>
      </c>
      <c r="M147"/>
      <c r="N147"/>
    </row>
    <row r="148" spans="1:14" x14ac:dyDescent="0.35">
      <c r="A148" t="s">
        <v>155</v>
      </c>
      <c r="B148" t="s">
        <v>161</v>
      </c>
      <c r="C148" t="s">
        <v>170</v>
      </c>
      <c r="D148" t="s">
        <v>173</v>
      </c>
      <c r="E148" s="13">
        <v>57141</v>
      </c>
      <c r="F148" s="16">
        <v>43030</v>
      </c>
      <c r="G148">
        <v>2</v>
      </c>
      <c r="I148" t="s">
        <v>276</v>
      </c>
      <c r="J148" s="33">
        <v>57141</v>
      </c>
      <c r="K148" s="34">
        <v>43030</v>
      </c>
      <c r="L148" s="35">
        <v>2</v>
      </c>
      <c r="M148"/>
      <c r="N148"/>
    </row>
    <row r="149" spans="1:14" x14ac:dyDescent="0.35">
      <c r="A149" t="s">
        <v>156</v>
      </c>
      <c r="B149" t="s">
        <v>165</v>
      </c>
      <c r="C149" t="s">
        <v>168</v>
      </c>
      <c r="D149" t="s">
        <v>176</v>
      </c>
      <c r="E149" s="13">
        <v>65270</v>
      </c>
      <c r="F149" s="16">
        <v>43037</v>
      </c>
      <c r="G149">
        <v>1</v>
      </c>
      <c r="I149" t="s">
        <v>279</v>
      </c>
      <c r="J149" s="33">
        <v>65270</v>
      </c>
      <c r="K149" s="34">
        <v>43037</v>
      </c>
      <c r="L149" s="35">
        <v>1</v>
      </c>
      <c r="M149"/>
      <c r="N149"/>
    </row>
    <row r="150" spans="1:14" x14ac:dyDescent="0.35">
      <c r="A150" t="s">
        <v>157</v>
      </c>
      <c r="B150" t="s">
        <v>165</v>
      </c>
      <c r="C150" t="s">
        <v>170</v>
      </c>
      <c r="D150" t="s">
        <v>175</v>
      </c>
      <c r="E150" s="13">
        <v>67335</v>
      </c>
      <c r="F150" s="16">
        <v>43044</v>
      </c>
      <c r="G150">
        <v>1</v>
      </c>
      <c r="H150" t="s">
        <v>179</v>
      </c>
      <c r="I150" t="s">
        <v>233</v>
      </c>
      <c r="J150" s="33">
        <v>67335</v>
      </c>
      <c r="K150" s="34">
        <v>43044</v>
      </c>
      <c r="L150" s="35">
        <v>1</v>
      </c>
      <c r="M150"/>
      <c r="N150"/>
    </row>
    <row r="151" spans="1:14" x14ac:dyDescent="0.35">
      <c r="A151" t="s">
        <v>158</v>
      </c>
      <c r="B151" t="s">
        <v>163</v>
      </c>
      <c r="C151" t="s">
        <v>170</v>
      </c>
      <c r="D151" t="s">
        <v>174</v>
      </c>
      <c r="E151" s="13">
        <v>98475</v>
      </c>
      <c r="F151" s="16">
        <v>43051</v>
      </c>
      <c r="G151">
        <v>5</v>
      </c>
      <c r="H151" t="s">
        <v>179</v>
      </c>
      <c r="I151" t="s">
        <v>280</v>
      </c>
      <c r="J151" s="33">
        <v>98475</v>
      </c>
      <c r="K151" s="34">
        <v>43051</v>
      </c>
      <c r="L151" s="35">
        <v>5</v>
      </c>
      <c r="M151"/>
      <c r="N15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930E-0149-46F5-94A1-94F25C1221B7}">
  <dimension ref="A1:E16"/>
  <sheetViews>
    <sheetView workbookViewId="0">
      <selection activeCell="C6" sqref="C6"/>
    </sheetView>
  </sheetViews>
  <sheetFormatPr defaultRowHeight="14.5" x14ac:dyDescent="0.35"/>
  <cols>
    <col min="1" max="1" width="28.54296875" customWidth="1"/>
    <col min="2" max="2" width="11.26953125" bestFit="1" customWidth="1"/>
    <col min="3" max="3" width="11.453125" bestFit="1" customWidth="1"/>
    <col min="4" max="4" width="5.81640625" bestFit="1" customWidth="1"/>
    <col min="5" max="5" width="17.54296875" bestFit="1" customWidth="1"/>
  </cols>
  <sheetData>
    <row r="1" spans="1:5" x14ac:dyDescent="0.35">
      <c r="A1" s="45" t="s">
        <v>302</v>
      </c>
      <c r="B1" s="45"/>
      <c r="C1" s="45"/>
      <c r="D1" s="45"/>
      <c r="E1" s="45"/>
    </row>
    <row r="3" spans="1:5" ht="14.5" customHeight="1" x14ac:dyDescent="0.35">
      <c r="A3" s="42" t="s">
        <v>304</v>
      </c>
      <c r="B3" s="19" t="s">
        <v>0</v>
      </c>
      <c r="C3" s="19" t="s">
        <v>1</v>
      </c>
      <c r="D3" s="19" t="s">
        <v>4</v>
      </c>
      <c r="E3" s="19" t="s">
        <v>6</v>
      </c>
    </row>
    <row r="4" spans="1:5" x14ac:dyDescent="0.35">
      <c r="A4" s="43"/>
      <c r="B4" s="20" t="s">
        <v>158</v>
      </c>
      <c r="C4" s="20" t="s">
        <v>163</v>
      </c>
      <c r="D4" s="21">
        <v>98475</v>
      </c>
      <c r="E4" s="21">
        <v>5</v>
      </c>
    </row>
    <row r="5" spans="1:5" x14ac:dyDescent="0.35">
      <c r="A5" s="43"/>
      <c r="B5" s="22" t="s">
        <v>71</v>
      </c>
      <c r="C5" s="22" t="s">
        <v>164</v>
      </c>
      <c r="D5" s="21">
        <v>97981</v>
      </c>
      <c r="E5" s="21">
        <v>5</v>
      </c>
    </row>
    <row r="6" spans="1:5" x14ac:dyDescent="0.35">
      <c r="A6" s="43"/>
      <c r="B6" s="22" t="s">
        <v>21</v>
      </c>
      <c r="C6" s="22" t="s">
        <v>165</v>
      </c>
      <c r="D6" s="21">
        <v>96418</v>
      </c>
      <c r="E6" s="21">
        <v>5</v>
      </c>
    </row>
    <row r="7" spans="1:5" x14ac:dyDescent="0.35">
      <c r="A7" s="43"/>
      <c r="B7" s="20" t="s">
        <v>38</v>
      </c>
      <c r="C7" s="20" t="s">
        <v>165</v>
      </c>
      <c r="D7" s="21">
        <v>92959</v>
      </c>
      <c r="E7" s="21">
        <v>5</v>
      </c>
    </row>
    <row r="8" spans="1:5" x14ac:dyDescent="0.35">
      <c r="A8" s="44"/>
      <c r="B8" s="20" t="s">
        <v>20</v>
      </c>
      <c r="C8" s="20" t="s">
        <v>163</v>
      </c>
      <c r="D8" s="21">
        <v>91180</v>
      </c>
      <c r="E8" s="21">
        <v>5</v>
      </c>
    </row>
    <row r="11" spans="1:5" ht="14.5" customHeight="1" x14ac:dyDescent="0.35">
      <c r="A11" s="42" t="s">
        <v>303</v>
      </c>
      <c r="B11" s="25" t="s">
        <v>0</v>
      </c>
      <c r="C11" s="25" t="s">
        <v>1</v>
      </c>
      <c r="D11" s="25" t="s">
        <v>4</v>
      </c>
      <c r="E11" s="25" t="s">
        <v>6</v>
      </c>
    </row>
    <row r="12" spans="1:5" x14ac:dyDescent="0.35">
      <c r="A12" s="43"/>
      <c r="B12" s="24" t="s">
        <v>61</v>
      </c>
      <c r="C12" s="24" t="s">
        <v>159</v>
      </c>
      <c r="D12" s="1">
        <v>30280</v>
      </c>
      <c r="E12" s="1">
        <v>1</v>
      </c>
    </row>
    <row r="13" spans="1:5" x14ac:dyDescent="0.35">
      <c r="A13" s="43"/>
      <c r="B13" s="23" t="s">
        <v>137</v>
      </c>
      <c r="C13" s="23" t="s">
        <v>164</v>
      </c>
      <c r="D13" s="1">
        <v>30402</v>
      </c>
      <c r="E13" s="1">
        <v>1</v>
      </c>
    </row>
    <row r="14" spans="1:5" x14ac:dyDescent="0.35">
      <c r="A14" s="43"/>
      <c r="B14" s="23" t="s">
        <v>26</v>
      </c>
      <c r="C14" s="23" t="s">
        <v>162</v>
      </c>
      <c r="D14" s="1">
        <v>41341</v>
      </c>
      <c r="E14" s="1">
        <v>1</v>
      </c>
    </row>
    <row r="15" spans="1:5" x14ac:dyDescent="0.35">
      <c r="A15" s="43"/>
      <c r="B15" s="23" t="s">
        <v>91</v>
      </c>
      <c r="C15" s="24" t="s">
        <v>159</v>
      </c>
      <c r="D15" s="1">
        <v>42262</v>
      </c>
      <c r="E15" s="1">
        <v>1</v>
      </c>
    </row>
    <row r="16" spans="1:5" x14ac:dyDescent="0.35">
      <c r="A16" s="44"/>
      <c r="B16" s="24" t="s">
        <v>122</v>
      </c>
      <c r="C16" s="24" t="s">
        <v>160</v>
      </c>
      <c r="D16" s="1">
        <v>47653</v>
      </c>
      <c r="E16" s="1">
        <v>1</v>
      </c>
    </row>
  </sheetData>
  <mergeCells count="3">
    <mergeCell ref="A11:A16"/>
    <mergeCell ref="A1:E1"/>
    <mergeCell ref="A3:A8"/>
  </mergeCells>
  <conditionalFormatting sqref="E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{925B95D6-7FD8-4937-8F70-046A34625136}</x14:id>
        </ext>
      </extLst>
    </cfRule>
  </conditionalFormatting>
  <conditionalFormatting sqref="E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{24CA0AD2-1FA2-4CFD-9E79-58FD420423BC}</x14:id>
        </ext>
      </extLst>
    </cfRule>
  </conditionalFormatting>
  <conditionalFormatting sqref="D4:D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{D09BD054-2359-4F72-8F6E-77136B21BDA6}</x14:id>
        </ext>
      </extLst>
    </cfRule>
  </conditionalFormatting>
  <conditionalFormatting sqref="D12:D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{E323211E-1A85-46E9-955D-3C71C0DDA974}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5B95D6-7FD8-4937-8F70-046A346251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24CA0AD2-1FA2-4CFD-9E79-58FD420423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E11</xm:sqref>
        </x14:conditionalFormatting>
        <x14:conditionalFormatting xmlns:xm="http://schemas.microsoft.com/office/excel/2006/main">
          <x14:cfRule type="dataBar" id="{D09BD054-2359-4F72-8F6E-77136B21BD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D4:D8</xm:sqref>
        </x14:conditionalFormatting>
        <x14:conditionalFormatting xmlns:xm="http://schemas.microsoft.com/office/excel/2006/main">
          <x14:cfRule type="dataBar" id="{E323211E-1A85-46E9-955D-3C71C0DDA9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D12:D16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EAE87F-4648-4506-A988-375620448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 2</vt:lpstr>
      <vt:lpstr>Cleaned data</vt:lpstr>
      <vt:lpstr>Duplicated data</vt:lpstr>
      <vt:lpstr>Mini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Balamurugan P</cp:lastModifiedBy>
  <dcterms:created xsi:type="dcterms:W3CDTF">2025-05-31T18:11:07Z</dcterms:created>
  <dcterms:modified xsi:type="dcterms:W3CDTF">2025-11-29T12:18:07Z</dcterms:modified>
</cp:coreProperties>
</file>